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BDCF2AC4-7184-45EB-BAB1-A67E710B56DC}" xr6:coauthVersionLast="47" xr6:coauthVersionMax="47" xr10:uidLastSave="{00000000-0000-0000-0000-000000000000}"/>
  <bookViews>
    <workbookView xWindow="-108" yWindow="-108" windowWidth="23256" windowHeight="12456" activeTab="12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3" l="1"/>
  <c r="B246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5" i="12"/>
  <c r="B6" i="12"/>
  <c r="B7" i="12"/>
  <c r="B8" i="12"/>
  <c r="B4" i="12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4" i="11"/>
  <c r="H4" i="10"/>
  <c r="G4" i="10"/>
  <c r="B4" i="9" l="1"/>
  <c r="B5" i="9"/>
  <c r="B6" i="9"/>
  <c r="B7" i="9"/>
  <c r="B8" i="9"/>
  <c r="B9" i="9"/>
  <c r="B10" i="9"/>
  <c r="C8" i="8"/>
  <c r="D8" i="8"/>
  <c r="B8" i="8"/>
  <c r="E5" i="7"/>
  <c r="E6" i="7"/>
  <c r="E7" i="7"/>
  <c r="E4" i="7"/>
  <c r="F4" i="6"/>
  <c r="B3" i="5"/>
  <c r="B4" i="5"/>
  <c r="B5" i="5"/>
  <c r="B6" i="5"/>
  <c r="B7" i="5"/>
  <c r="B8" i="5"/>
  <c r="B9" i="5"/>
  <c r="B12" i="3"/>
  <c r="B11" i="3"/>
  <c r="F10" i="2"/>
  <c r="F7" i="2"/>
  <c r="F6" i="2"/>
  <c r="E11" i="1"/>
  <c r="D11" i="1"/>
  <c r="C11" i="1"/>
  <c r="B11" i="1"/>
  <c r="E6" i="1"/>
  <c r="E7" i="1"/>
  <c r="E8" i="1"/>
  <c r="E9" i="1"/>
  <c r="E10" i="1"/>
  <c r="E5" i="1"/>
</calcChain>
</file>

<file path=xl/sharedStrings.xml><?xml version="1.0" encoding="utf-8"?>
<sst xmlns="http://schemas.openxmlformats.org/spreadsheetml/2006/main" count="971" uniqueCount="417">
  <si>
    <t>Employee</t>
  </si>
  <si>
    <t>Day1 Call</t>
  </si>
  <si>
    <t>Day2 Call</t>
  </si>
  <si>
    <t>Day3 Call</t>
  </si>
  <si>
    <t>Sioux</t>
  </si>
  <si>
    <t>Tom</t>
  </si>
  <si>
    <t>Chin</t>
  </si>
  <si>
    <t>Pham</t>
  </si>
  <si>
    <t>Shelia</t>
  </si>
  <si>
    <t>Mo</t>
  </si>
  <si>
    <t>Total</t>
  </si>
  <si>
    <t>1) In cell F4, Create Formula That will add the sales for Sioux using cell E4 as reference</t>
  </si>
  <si>
    <t>Sales</t>
  </si>
  <si>
    <t>Jo</t>
  </si>
  <si>
    <t>SalesRep</t>
  </si>
  <si>
    <t>3/18/2010</t>
  </si>
  <si>
    <t>Fred</t>
  </si>
  <si>
    <t>3/19/2010</t>
  </si>
  <si>
    <t>3/20/2010</t>
  </si>
  <si>
    <t>3/21/2010</t>
  </si>
  <si>
    <t>Joe</t>
  </si>
  <si>
    <t>3/22/2010</t>
  </si>
  <si>
    <t>Sue</t>
  </si>
  <si>
    <t>3/23/2010</t>
  </si>
  <si>
    <t>3/24/2010</t>
  </si>
  <si>
    <t>3/25/2010</t>
  </si>
  <si>
    <t>3/26/2010</t>
  </si>
  <si>
    <t>3/28/2010</t>
  </si>
  <si>
    <t>3/29/2010</t>
  </si>
  <si>
    <t>3/30/2010</t>
  </si>
  <si>
    <t>3/31/2010</t>
  </si>
  <si>
    <t>2) In cell F5, Create a fromula that will add the sales for Fred using cell E5 as refrence</t>
  </si>
  <si>
    <t>3) In cell F8, Create a formula that will add the sales for Jo and joe</t>
  </si>
  <si>
    <t>Date</t>
  </si>
  <si>
    <t>Names</t>
  </si>
  <si>
    <t>Total Sales</t>
  </si>
  <si>
    <t>Jo and Joe</t>
  </si>
  <si>
    <t>Update Formula for Total Sales &amp; total Quantity For ITEM name "Dark Chocolate"</t>
  </si>
  <si>
    <t>Name</t>
  </si>
  <si>
    <t>Quantity</t>
  </si>
  <si>
    <t>Order No</t>
  </si>
  <si>
    <t>Item Name</t>
  </si>
  <si>
    <t>Dark Chocolate</t>
  </si>
  <si>
    <t>White Chocolate</t>
  </si>
  <si>
    <t>Milk Chocolate</t>
  </si>
  <si>
    <t>Bittersweet Chocolate</t>
  </si>
  <si>
    <t>Ruby Dark</t>
  </si>
  <si>
    <t>Total Quantity</t>
  </si>
  <si>
    <t>Alan</t>
  </si>
  <si>
    <t>Jones</t>
  </si>
  <si>
    <t>Bob</t>
  </si>
  <si>
    <t>Williams</t>
  </si>
  <si>
    <t>Carol</t>
  </si>
  <si>
    <t>Davies</t>
  </si>
  <si>
    <t>alan</t>
  </si>
  <si>
    <t>First Name</t>
  </si>
  <si>
    <t>Last Name</t>
  </si>
  <si>
    <t>First Last name</t>
  </si>
  <si>
    <t>Concate the Fist and last Name in C cloumn with separtor "-"</t>
  </si>
  <si>
    <t>Get the Day name in the day name cloumn from the Date column</t>
  </si>
  <si>
    <t>Day Name</t>
  </si>
  <si>
    <t>Count</t>
  </si>
  <si>
    <t>Value</t>
  </si>
  <si>
    <t>Get the count of sales less than 40 in E4</t>
  </si>
  <si>
    <t>Hourly wage</t>
  </si>
  <si>
    <t>Time In</t>
  </si>
  <si>
    <t>Time Out</t>
  </si>
  <si>
    <t>Gross Pay</t>
  </si>
  <si>
    <t>Employee 1</t>
  </si>
  <si>
    <t>Employee 2</t>
  </si>
  <si>
    <t>Employee 3</t>
  </si>
  <si>
    <t>Employee 4</t>
  </si>
  <si>
    <t>Calcluate The Gross Pay in Gross Pay Column</t>
  </si>
  <si>
    <t>Commision Earned</t>
  </si>
  <si>
    <t>Earned Comission</t>
  </si>
  <si>
    <t>Abraham</t>
  </si>
  <si>
    <t>Hironobu</t>
  </si>
  <si>
    <t>Daniel</t>
  </si>
  <si>
    <t>Calculate the Earned For Each SalesRep</t>
  </si>
  <si>
    <t>Time</t>
  </si>
  <si>
    <t xml:space="preserve">Cretae a formula says "Acceptable Time" if the Time value is less than 18 min and blank if the time greater than or equal to 18 min </t>
  </si>
  <si>
    <t>Results</t>
  </si>
  <si>
    <t>Product</t>
  </si>
  <si>
    <t>Price</t>
  </si>
  <si>
    <t>Description</t>
  </si>
  <si>
    <t>Carlota</t>
  </si>
  <si>
    <t>Quad</t>
  </si>
  <si>
    <t>Bellen</t>
  </si>
  <si>
    <t>Sunshine</t>
  </si>
  <si>
    <t>Majestic</t>
  </si>
  <si>
    <t>Phenolic</t>
  </si>
  <si>
    <t>Flying range is 20</t>
  </si>
  <si>
    <t>Flying range is 25</t>
  </si>
  <si>
    <t>Flying range is 30</t>
  </si>
  <si>
    <t>Flying range is 35</t>
  </si>
  <si>
    <t>Flying range is 40</t>
  </si>
  <si>
    <t>Flying range is 45</t>
  </si>
  <si>
    <t>Category</t>
  </si>
  <si>
    <t>5/16/2010</t>
  </si>
  <si>
    <t>OUTDOOR</t>
  </si>
  <si>
    <t>5/17/2010</t>
  </si>
  <si>
    <t>5/18/2010</t>
  </si>
  <si>
    <t>SPORT</t>
  </si>
  <si>
    <t>5/19/2010</t>
  </si>
  <si>
    <t>5/20/2010</t>
  </si>
  <si>
    <t>5/21/2010</t>
  </si>
  <si>
    <t>RAD</t>
  </si>
  <si>
    <t>5/22/2010</t>
  </si>
  <si>
    <t>5/23/2010</t>
  </si>
  <si>
    <t>5/24/2010</t>
  </si>
  <si>
    <t>5/25/2010</t>
  </si>
  <si>
    <t>5/26/2010</t>
  </si>
  <si>
    <t>5/27/2010</t>
  </si>
  <si>
    <t>5/28/2010</t>
  </si>
  <si>
    <t>5/29/2010</t>
  </si>
  <si>
    <t>5/30/2010</t>
  </si>
  <si>
    <t>5/31/2010</t>
  </si>
  <si>
    <t>5/29/2011</t>
  </si>
  <si>
    <t>5/30/2011</t>
  </si>
  <si>
    <t>5/31/2011</t>
  </si>
  <si>
    <t>$131.07</t>
  </si>
  <si>
    <t>$159.48</t>
  </si>
  <si>
    <t>$84.98</t>
  </si>
  <si>
    <t>$85.33</t>
  </si>
  <si>
    <t>$109.55</t>
  </si>
  <si>
    <t>$151.96</t>
  </si>
  <si>
    <t>$87.65</t>
  </si>
  <si>
    <t>$135.76</t>
  </si>
  <si>
    <t>$153.51</t>
  </si>
  <si>
    <t>$113.04</t>
  </si>
  <si>
    <t>$138.42</t>
  </si>
  <si>
    <t>$154.69</t>
  </si>
  <si>
    <t>$145.99</t>
  </si>
  <si>
    <t>$97.45</t>
  </si>
  <si>
    <t>$130.43</t>
  </si>
  <si>
    <t>$118.56</t>
  </si>
  <si>
    <t>$127.48</t>
  </si>
  <si>
    <t>$95.27</t>
  </si>
  <si>
    <t>$146.35</t>
  </si>
  <si>
    <t>RAD-1084</t>
  </si>
  <si>
    <t>OUTDOOR-1876</t>
  </si>
  <si>
    <t>SPORT-1743</t>
  </si>
  <si>
    <t>Instore Category</t>
  </si>
  <si>
    <t>Table-2</t>
  </si>
  <si>
    <t>Get the Instore Category from Table-2 with Respect to Category Column</t>
  </si>
  <si>
    <t>Sparate the name from the email ids using Formula</t>
  </si>
  <si>
    <t>Email-Id</t>
  </si>
  <si>
    <t>Sahil.sahil@gamil.com</t>
  </si>
  <si>
    <t>Aishwarya@gamil.com</t>
  </si>
  <si>
    <t>Rahul@gamil.com</t>
  </si>
  <si>
    <t>Rishita@gamil.com</t>
  </si>
  <si>
    <t>Ankita@gamil.com</t>
  </si>
  <si>
    <t>ID07352</t>
  </si>
  <si>
    <t>ID07357</t>
  </si>
  <si>
    <t>ID07363</t>
  </si>
  <si>
    <t>ID07374</t>
  </si>
  <si>
    <t>ID07401</t>
  </si>
  <si>
    <t>ID07407</t>
  </si>
  <si>
    <t>ID07415</t>
  </si>
  <si>
    <t>ID07429</t>
  </si>
  <si>
    <t>ID07443</t>
  </si>
  <si>
    <t>ID07452</t>
  </si>
  <si>
    <t>ID07467</t>
  </si>
  <si>
    <t>ID07526</t>
  </si>
  <si>
    <t>ID07533</t>
  </si>
  <si>
    <t>ID07541</t>
  </si>
  <si>
    <t>ID07571</t>
  </si>
  <si>
    <t>ID07584</t>
  </si>
  <si>
    <t>ID07592</t>
  </si>
  <si>
    <t>ID07436</t>
  </si>
  <si>
    <t>ID07475</t>
  </si>
  <si>
    <t>ID07490</t>
  </si>
  <si>
    <t>ID07519</t>
  </si>
  <si>
    <t>ID07548</t>
  </si>
  <si>
    <t>ID07555</t>
  </si>
  <si>
    <t>ID07563</t>
  </si>
  <si>
    <t>ID07387</t>
  </si>
  <si>
    <t>ID07483</t>
  </si>
  <si>
    <t>ID07498</t>
  </si>
  <si>
    <t>ID07368</t>
  </si>
  <si>
    <t>ID07380</t>
  </si>
  <si>
    <t>ID07393</t>
  </si>
  <si>
    <t>ID07422</t>
  </si>
  <si>
    <t>ID07459</t>
  </si>
  <si>
    <t>ID07505</t>
  </si>
  <si>
    <t>ID07512</t>
  </si>
  <si>
    <t>ID07525</t>
  </si>
  <si>
    <t>ID07577</t>
  </si>
  <si>
    <t>ID07362</t>
  </si>
  <si>
    <t>ID07451</t>
  </si>
  <si>
    <t>ID07466</t>
  </si>
  <si>
    <t>ID07532</t>
  </si>
  <si>
    <t>ID07540</t>
  </si>
  <si>
    <t>ID07583</t>
  </si>
  <si>
    <t>ID07591</t>
  </si>
  <si>
    <t>ID07351</t>
  </si>
  <si>
    <t>ID07356</t>
  </si>
  <si>
    <t>ID07373</t>
  </si>
  <si>
    <t>ID07386</t>
  </si>
  <si>
    <t>ID07400</t>
  </si>
  <si>
    <t>ID07406</t>
  </si>
  <si>
    <t>ID07414</t>
  </si>
  <si>
    <t>ID07428</t>
  </si>
  <si>
    <t>ID07435</t>
  </si>
  <si>
    <t>ID07442</t>
  </si>
  <si>
    <t>ID07474</t>
  </si>
  <si>
    <t>ID07482</t>
  </si>
  <si>
    <t>ID07489</t>
  </si>
  <si>
    <t>ID07497</t>
  </si>
  <si>
    <t>ID07518</t>
  </si>
  <si>
    <t>ID07547</t>
  </si>
  <si>
    <t>ID07554</t>
  </si>
  <si>
    <t>ID07562</t>
  </si>
  <si>
    <t>ID07570</t>
  </si>
  <si>
    <t>ID07379</t>
  </si>
  <si>
    <t>ID07392</t>
  </si>
  <si>
    <t>ID07421</t>
  </si>
  <si>
    <t>ID07458</t>
  </si>
  <si>
    <t>ID07511</t>
  </si>
  <si>
    <t>ID07524</t>
  </si>
  <si>
    <t>ID07576</t>
  </si>
  <si>
    <t>ID07465</t>
  </si>
  <si>
    <t>ID07531</t>
  </si>
  <si>
    <t>ID07539</t>
  </si>
  <si>
    <t>ID07355</t>
  </si>
  <si>
    <t>ID07361</t>
  </si>
  <si>
    <t>ID07367</t>
  </si>
  <si>
    <t>ID07399</t>
  </si>
  <si>
    <t>ID07427</t>
  </si>
  <si>
    <t>ID07434</t>
  </si>
  <si>
    <t>ID07441</t>
  </si>
  <si>
    <t>ID07450</t>
  </si>
  <si>
    <t>ID07473</t>
  </si>
  <si>
    <t>ID07481</t>
  </si>
  <si>
    <t>ID07504</t>
  </si>
  <si>
    <t>ID07553</t>
  </si>
  <si>
    <t>ID07561</t>
  </si>
  <si>
    <t>ID07569</t>
  </si>
  <si>
    <t>ID07582</t>
  </si>
  <si>
    <t>ID07590</t>
  </si>
  <si>
    <t>ID07395</t>
  </si>
  <si>
    <t>ID07507</t>
  </si>
  <si>
    <t>ID07382</t>
  </si>
  <si>
    <t>ID07409</t>
  </si>
  <si>
    <t>ID07445</t>
  </si>
  <si>
    <t>ID07454</t>
  </si>
  <si>
    <t>ID07461</t>
  </si>
  <si>
    <t>ID07469</t>
  </si>
  <si>
    <t>ID07500</t>
  </si>
  <si>
    <t>ID07370</t>
  </si>
  <si>
    <t>ID07402</t>
  </si>
  <si>
    <t>ID07477</t>
  </si>
  <si>
    <t>ID07535</t>
  </si>
  <si>
    <t>ID07557</t>
  </si>
  <si>
    <t>ID07565</t>
  </si>
  <si>
    <t>ID07586</t>
  </si>
  <si>
    <t>ID07594</t>
  </si>
  <si>
    <t>ID07353</t>
  </si>
  <si>
    <t>ID07375</t>
  </si>
  <si>
    <t>ID07416</t>
  </si>
  <si>
    <t>ID07423</t>
  </si>
  <si>
    <t>ID07430</t>
  </si>
  <si>
    <t>ID07485</t>
  </si>
  <si>
    <t>ID07492</t>
  </si>
  <si>
    <t>ID07514</t>
  </si>
  <si>
    <t>ID07520</t>
  </si>
  <si>
    <t>ID07543</t>
  </si>
  <si>
    <t>ID07358</t>
  </si>
  <si>
    <t>ID07364</t>
  </si>
  <si>
    <t>ID07381</t>
  </si>
  <si>
    <t>ID07388</t>
  </si>
  <si>
    <t>ID07394</t>
  </si>
  <si>
    <t>ID07408</t>
  </si>
  <si>
    <t>ID07437</t>
  </si>
  <si>
    <t>ID07444</t>
  </si>
  <si>
    <t>ID07453</t>
  </si>
  <si>
    <t>ID07460</t>
  </si>
  <si>
    <t>ID07468</t>
  </si>
  <si>
    <t>ID07499</t>
  </si>
  <si>
    <t>ID07506</t>
  </si>
  <si>
    <t>ID07527</t>
  </si>
  <si>
    <t>ID07549</t>
  </si>
  <si>
    <t>ID07572</t>
  </si>
  <si>
    <t>ID07578</t>
  </si>
  <si>
    <t>ID07369</t>
  </si>
  <si>
    <t>ID07476</t>
  </si>
  <si>
    <t>ID07534</t>
  </si>
  <si>
    <t>ID07556</t>
  </si>
  <si>
    <t>ID07564</t>
  </si>
  <si>
    <t>ID07585</t>
  </si>
  <si>
    <t>ID07593</t>
  </si>
  <si>
    <t>ID07484</t>
  </si>
  <si>
    <t>ID07491</t>
  </si>
  <si>
    <t>ID07513</t>
  </si>
  <si>
    <t>ID07542</t>
  </si>
  <si>
    <t>ID07384</t>
  </si>
  <si>
    <t>ID07425</t>
  </si>
  <si>
    <t>ID07448</t>
  </si>
  <si>
    <t>ID07479</t>
  </si>
  <si>
    <t>ID07588</t>
  </si>
  <si>
    <t>ID07360</t>
  </si>
  <si>
    <t>ID07366</t>
  </si>
  <si>
    <t>ID07377</t>
  </si>
  <si>
    <t>ID07390</t>
  </si>
  <si>
    <t>ID07397</t>
  </si>
  <si>
    <t>ID07487</t>
  </si>
  <si>
    <t>ID07509</t>
  </si>
  <si>
    <t>ID07559</t>
  </si>
  <si>
    <t>ID07574</t>
  </si>
  <si>
    <t>ID07411</t>
  </si>
  <si>
    <t>ID07418</t>
  </si>
  <si>
    <t>ID07432</t>
  </si>
  <si>
    <t>ID07494</t>
  </si>
  <si>
    <t>ID07502</t>
  </si>
  <si>
    <t>ID07516</t>
  </si>
  <si>
    <t>ID07529</t>
  </si>
  <si>
    <t>ID07551</t>
  </si>
  <si>
    <t>ID07354</t>
  </si>
  <si>
    <t>ID07371</t>
  </si>
  <si>
    <t>ID07403</t>
  </si>
  <si>
    <t>ID07439</t>
  </si>
  <si>
    <t>ID07471</t>
  </si>
  <si>
    <t>ID07537</t>
  </si>
  <si>
    <t>ID07567</t>
  </si>
  <si>
    <t>ID07580</t>
  </si>
  <si>
    <t>ID07359</t>
  </si>
  <si>
    <t>ID07365</t>
  </si>
  <si>
    <t>ID07376</t>
  </si>
  <si>
    <t>ID07383</t>
  </si>
  <si>
    <t>ID07389</t>
  </si>
  <si>
    <t>ID07396</t>
  </si>
  <si>
    <t>ID07424</t>
  </si>
  <si>
    <t>ID07447</t>
  </si>
  <si>
    <t>ID07455</t>
  </si>
  <si>
    <t>ID07462</t>
  </si>
  <si>
    <t>ID07478</t>
  </si>
  <si>
    <t>ID07486</t>
  </si>
  <si>
    <t>ID07508</t>
  </si>
  <si>
    <t>ID07521</t>
  </si>
  <si>
    <t>ID07544</t>
  </si>
  <si>
    <t>ID07558</t>
  </si>
  <si>
    <t>ID07587</t>
  </si>
  <si>
    <t>ID07410</t>
  </si>
  <si>
    <t>ID07417</t>
  </si>
  <si>
    <t>ID07431</t>
  </si>
  <si>
    <t>ID07493</t>
  </si>
  <si>
    <t>ID07501</t>
  </si>
  <si>
    <t>ID07515</t>
  </si>
  <si>
    <t>ID07528</t>
  </si>
  <si>
    <t>ID07550</t>
  </si>
  <si>
    <t>ID07573</t>
  </si>
  <si>
    <t>ID07438</t>
  </si>
  <si>
    <t>ID07446</t>
  </si>
  <si>
    <t>ID07470</t>
  </si>
  <si>
    <t>ID07536</t>
  </si>
  <si>
    <t>ID07566</t>
  </si>
  <si>
    <t>ID07579</t>
  </si>
  <si>
    <t>ID07405</t>
  </si>
  <si>
    <t>ID07413</t>
  </si>
  <si>
    <t>ID07385</t>
  </si>
  <si>
    <t>ID07420</t>
  </si>
  <si>
    <t>ID07496</t>
  </si>
  <si>
    <t>ID07372</t>
  </si>
  <si>
    <t>ID07457</t>
  </si>
  <si>
    <t>ID07464</t>
  </si>
  <si>
    <t>ID07488</t>
  </si>
  <si>
    <t>ID07523</t>
  </si>
  <si>
    <t>ID07546</t>
  </si>
  <si>
    <t>ID07378</t>
  </si>
  <si>
    <t>ID07391</t>
  </si>
  <si>
    <t>ID07398</t>
  </si>
  <si>
    <t>ID07426</t>
  </si>
  <si>
    <t>ID07510</t>
  </si>
  <si>
    <t>ID07517</t>
  </si>
  <si>
    <t>ID07575</t>
  </si>
  <si>
    <t>ID07589</t>
  </si>
  <si>
    <t>ID07404</t>
  </si>
  <si>
    <t>ID07412</t>
  </si>
  <si>
    <t>ID07433</t>
  </si>
  <si>
    <t>ID07449</t>
  </si>
  <si>
    <t>ID07480</t>
  </si>
  <si>
    <t>ID07503</t>
  </si>
  <si>
    <t>ID07530</t>
  </si>
  <si>
    <t>ID07552</t>
  </si>
  <si>
    <t>ID07560</t>
  </si>
  <si>
    <t>ID07568</t>
  </si>
  <si>
    <t>ID07581</t>
  </si>
  <si>
    <t>ID07419</t>
  </si>
  <si>
    <t>ID07440</t>
  </si>
  <si>
    <t>ID07495</t>
  </si>
  <si>
    <t>ID07538</t>
  </si>
  <si>
    <t>ID07456</t>
  </si>
  <si>
    <t>ID07463</t>
  </si>
  <si>
    <t>ID07472</t>
  </si>
  <si>
    <t>ID07522</t>
  </si>
  <si>
    <t>ID07545</t>
  </si>
  <si>
    <t>ID</t>
  </si>
  <si>
    <t>Qty</t>
  </si>
  <si>
    <t>Whole Wheat</t>
  </si>
  <si>
    <t>Pretzels</t>
  </si>
  <si>
    <t>Potato Chips</t>
  </si>
  <si>
    <t>Oatmeal Raisin</t>
  </si>
  <si>
    <t>Chocolate Chip</t>
  </si>
  <si>
    <t>Carrot</t>
  </si>
  <si>
    <t>Bran</t>
  </si>
  <si>
    <t>Banana</t>
  </si>
  <si>
    <t>Arrowroot</t>
  </si>
  <si>
    <t>QTY</t>
  </si>
  <si>
    <t>Retrive the QTY Data from Table-2 to the B Column</t>
  </si>
  <si>
    <t>1) In Cell E5 Create a formula that adds the employee's calls, then copy the formula down the column.</t>
  </si>
  <si>
    <t>2) Update Total formula in cell B11 an then copy the formula till coulmn E</t>
  </si>
  <si>
    <t>Jones-Alan</t>
  </si>
  <si>
    <t>Williams-Bob</t>
  </si>
  <si>
    <t>Davies-Carol</t>
  </si>
  <si>
    <t>Carol-alan</t>
  </si>
  <si>
    <t>Davies-Jones</t>
  </si>
  <si>
    <t>Create a Dropdown in Description and retrive te Product name and Product with respective the dropdown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</si>
</sst>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0" xfId="0" applyFill="1"/>
    <xf numFmtId="0" fontId="0" fillId="5" borderId="1" xfId="0" applyFill="1" applyBorder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1" xfId="0" applyFill="1" applyBorder="1"/>
    <xf numFmtId="0" fontId="0" fillId="6" borderId="0" xfId="0" applyFill="1" applyBorder="1"/>
    <xf numFmtId="0" fontId="0" fillId="2" borderId="0" xfId="0" applyFill="1"/>
    <xf numFmtId="0" fontId="1" fillId="7" borderId="2" xfId="0" applyFont="1" applyFill="1" applyBorder="1"/>
    <xf numFmtId="4" fontId="0" fillId="0" borderId="0" xfId="0" applyNumberFormat="1" applyAlignment="1">
      <alignment horizontal="center"/>
    </xf>
    <xf numFmtId="0" fontId="0" fillId="8" borderId="0" xfId="0" applyFill="1"/>
    <xf numFmtId="14" fontId="0" fillId="0" borderId="0" xfId="0" applyNumberFormat="1"/>
    <xf numFmtId="0" fontId="0" fillId="10" borderId="0" xfId="0" applyFill="1"/>
    <xf numFmtId="0" fontId="0" fillId="10" borderId="1" xfId="0" applyFill="1" applyBorder="1"/>
    <xf numFmtId="0" fontId="0" fillId="11" borderId="0" xfId="0" applyFill="1"/>
    <xf numFmtId="2" fontId="0" fillId="0" borderId="0" xfId="0" applyNumberFormat="1"/>
    <xf numFmtId="0" fontId="0" fillId="12" borderId="0" xfId="0" applyFill="1"/>
    <xf numFmtId="0" fontId="0" fillId="13" borderId="1" xfId="0" applyFill="1" applyBorder="1"/>
    <xf numFmtId="0" fontId="0" fillId="8" borderId="1" xfId="0" applyFill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14" borderId="1" xfId="0" applyFill="1" applyBorder="1"/>
    <xf numFmtId="1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6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8" borderId="0" xfId="0" applyNumberFormat="1" applyFill="1"/>
    <xf numFmtId="0" fontId="0" fillId="0" borderId="0" xfId="0" applyNumberFormat="1"/>
    <xf numFmtId="0" fontId="0" fillId="10" borderId="0" xfId="0" applyNumberForma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8" totalsRowShown="0">
  <autoFilter ref="A3:D8" xr:uid="{00000000-0009-0000-0100-000001000000}"/>
  <tableColumns count="4">
    <tableColumn id="1" xr3:uid="{00000000-0010-0000-0000-000001000000}" name="Order No"/>
    <tableColumn id="2" xr3:uid="{00000000-0010-0000-0000-000002000000}" name="Item Name"/>
    <tableColumn id="3" xr3:uid="{00000000-0010-0000-0000-000003000000}" name="Quantity" dataDxfId="3"/>
    <tableColumn id="4" xr3:uid="{00000000-0010-0000-0000-000004000000}" name="Sal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C9" totalsRowShown="0">
  <autoFilter ref="A3:C9" xr:uid="{00000000-0009-0000-0100-000002000000}"/>
  <tableColumns count="3">
    <tableColumn id="1" xr3:uid="{00000000-0010-0000-0100-000001000000}" name="Product"/>
    <tableColumn id="2" xr3:uid="{00000000-0010-0000-0100-000002000000}" name="Price"/>
    <tableColumn id="3" xr3:uid="{00000000-0010-0000-0100-000003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Rishita@gamil.com" TargetMode="External"/><Relationship Id="rId2" Type="http://schemas.openxmlformats.org/officeDocument/2006/relationships/hyperlink" Target="mailto:Rahul@gamil.com" TargetMode="External"/><Relationship Id="rId1" Type="http://schemas.openxmlformats.org/officeDocument/2006/relationships/hyperlink" Target="mailto:Aishwarya@gamil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Ankita@gam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5" sqref="E5:E11"/>
    </sheetView>
  </sheetViews>
  <sheetFormatPr defaultRowHeight="14.4" x14ac:dyDescent="0.3"/>
  <cols>
    <col min="1" max="1" width="59.109375" customWidth="1"/>
    <col min="2" max="4" width="9" bestFit="1" customWidth="1"/>
  </cols>
  <sheetData>
    <row r="1" spans="1:5" ht="30" customHeight="1" x14ac:dyDescent="0.3">
      <c r="A1" s="30" t="s">
        <v>409</v>
      </c>
      <c r="B1" s="30"/>
      <c r="C1" s="30"/>
      <c r="D1" s="30"/>
    </row>
    <row r="2" spans="1:5" x14ac:dyDescent="0.3">
      <c r="A2" s="31" t="s">
        <v>410</v>
      </c>
      <c r="B2" s="31"/>
      <c r="C2" s="31"/>
      <c r="D2" s="31"/>
    </row>
    <row r="4" spans="1:5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10</v>
      </c>
    </row>
    <row r="5" spans="1:5" x14ac:dyDescent="0.3">
      <c r="A5" s="4" t="s">
        <v>4</v>
      </c>
      <c r="B5" s="4">
        <v>25</v>
      </c>
      <c r="C5" s="4">
        <v>30</v>
      </c>
      <c r="D5" s="4">
        <v>35</v>
      </c>
      <c r="E5" s="6">
        <f>B5+C5+D5</f>
        <v>90</v>
      </c>
    </row>
    <row r="6" spans="1:5" x14ac:dyDescent="0.3">
      <c r="A6" s="4" t="s">
        <v>5</v>
      </c>
      <c r="B6" s="4">
        <v>25</v>
      </c>
      <c r="C6" s="4">
        <v>35</v>
      </c>
      <c r="D6" s="4">
        <v>45</v>
      </c>
      <c r="E6" s="6">
        <f t="shared" ref="E6:E10" si="0">B6+C6+D6</f>
        <v>105</v>
      </c>
    </row>
    <row r="7" spans="1:5" x14ac:dyDescent="0.3">
      <c r="A7" s="4" t="s">
        <v>6</v>
      </c>
      <c r="B7" s="4">
        <v>36</v>
      </c>
      <c r="C7" s="4">
        <v>48</v>
      </c>
      <c r="D7" s="4">
        <v>60</v>
      </c>
      <c r="E7" s="6">
        <f t="shared" si="0"/>
        <v>144</v>
      </c>
    </row>
    <row r="8" spans="1:5" x14ac:dyDescent="0.3">
      <c r="A8" s="4" t="s">
        <v>7</v>
      </c>
      <c r="B8" s="4">
        <v>91</v>
      </c>
      <c r="C8" s="4">
        <v>32</v>
      </c>
      <c r="D8" s="4">
        <v>40</v>
      </c>
      <c r="E8" s="6">
        <f t="shared" si="0"/>
        <v>163</v>
      </c>
    </row>
    <row r="9" spans="1:5" x14ac:dyDescent="0.3">
      <c r="A9" s="4" t="s">
        <v>8</v>
      </c>
      <c r="B9" s="4">
        <v>54</v>
      </c>
      <c r="C9" s="4">
        <v>67</v>
      </c>
      <c r="D9" s="4">
        <v>80</v>
      </c>
      <c r="E9" s="6">
        <f t="shared" si="0"/>
        <v>201</v>
      </c>
    </row>
    <row r="10" spans="1:5" x14ac:dyDescent="0.3">
      <c r="A10" s="4" t="s">
        <v>9</v>
      </c>
      <c r="B10" s="4">
        <v>89</v>
      </c>
      <c r="C10" s="4">
        <v>24</v>
      </c>
      <c r="D10" s="4">
        <v>50</v>
      </c>
      <c r="E10" s="6">
        <f t="shared" si="0"/>
        <v>163</v>
      </c>
    </row>
    <row r="11" spans="1:5" x14ac:dyDescent="0.3">
      <c r="A11" s="7" t="s">
        <v>10</v>
      </c>
      <c r="B11" s="6">
        <f>SUM(B5:B10)</f>
        <v>320</v>
      </c>
      <c r="C11" s="6">
        <f>SUM(C5:C10)</f>
        <v>236</v>
      </c>
      <c r="D11" s="6">
        <f>SUM(D5:D10)</f>
        <v>310</v>
      </c>
      <c r="E11" s="6">
        <f>SUM(E5:E10)</f>
        <v>866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F11" sqref="F11"/>
    </sheetView>
  </sheetViews>
  <sheetFormatPr defaultRowHeight="14.4" x14ac:dyDescent="0.3"/>
  <cols>
    <col min="1" max="1" width="38.88671875" customWidth="1"/>
    <col min="2" max="2" width="22" customWidth="1"/>
    <col min="3" max="3" width="25.6640625" customWidth="1"/>
    <col min="5" max="5" width="9.44140625" bestFit="1" customWidth="1"/>
    <col min="6" max="6" width="10" bestFit="1" customWidth="1"/>
    <col min="7" max="7" width="10.44140625" bestFit="1" customWidth="1"/>
  </cols>
  <sheetData>
    <row r="1" spans="1:6" x14ac:dyDescent="0.3">
      <c r="A1" s="30" t="s">
        <v>11</v>
      </c>
      <c r="B1" s="30"/>
      <c r="C1" s="30"/>
    </row>
    <row r="2" spans="1:6" x14ac:dyDescent="0.3">
      <c r="A2" s="30" t="s">
        <v>31</v>
      </c>
      <c r="B2" s="30"/>
      <c r="C2" s="30"/>
    </row>
    <row r="3" spans="1:6" x14ac:dyDescent="0.3">
      <c r="A3" s="30" t="s">
        <v>32</v>
      </c>
      <c r="B3" s="30"/>
      <c r="C3" s="30"/>
    </row>
    <row r="5" spans="1:6" x14ac:dyDescent="0.3">
      <c r="A5" s="9" t="s">
        <v>33</v>
      </c>
      <c r="B5" s="41" t="s">
        <v>14</v>
      </c>
      <c r="C5" s="41" t="s">
        <v>12</v>
      </c>
      <c r="E5" s="10" t="s">
        <v>34</v>
      </c>
      <c r="F5" s="10" t="s">
        <v>35</v>
      </c>
    </row>
    <row r="6" spans="1:6" x14ac:dyDescent="0.3">
      <c r="A6" s="39" t="s">
        <v>15</v>
      </c>
      <c r="B6" s="39" t="s">
        <v>16</v>
      </c>
      <c r="C6" s="39">
        <v>73</v>
      </c>
      <c r="E6" t="s">
        <v>4</v>
      </c>
      <c r="F6" s="11">
        <f>SUMIF(B6:B25,E6,C6:C25)</f>
        <v>556</v>
      </c>
    </row>
    <row r="7" spans="1:6" x14ac:dyDescent="0.3">
      <c r="A7" s="39" t="s">
        <v>17</v>
      </c>
      <c r="B7" s="39" t="s">
        <v>13</v>
      </c>
      <c r="C7" s="39">
        <v>117</v>
      </c>
      <c r="E7" t="s">
        <v>16</v>
      </c>
      <c r="F7" s="11">
        <f>SUMIF(B6:B26,E7,C6:C26)</f>
        <v>1245</v>
      </c>
    </row>
    <row r="8" spans="1:6" x14ac:dyDescent="0.3">
      <c r="A8" s="39" t="s">
        <v>18</v>
      </c>
      <c r="B8" s="39" t="s">
        <v>16</v>
      </c>
      <c r="C8" s="39">
        <v>161</v>
      </c>
    </row>
    <row r="9" spans="1:6" x14ac:dyDescent="0.3">
      <c r="A9" s="39" t="s">
        <v>19</v>
      </c>
      <c r="B9" s="39" t="s">
        <v>20</v>
      </c>
      <c r="C9" s="39">
        <v>205</v>
      </c>
      <c r="E9" s="10" t="s">
        <v>34</v>
      </c>
      <c r="F9" s="10" t="s">
        <v>35</v>
      </c>
    </row>
    <row r="10" spans="1:6" x14ac:dyDescent="0.3">
      <c r="A10" s="39" t="s">
        <v>21</v>
      </c>
      <c r="B10" s="39" t="s">
        <v>22</v>
      </c>
      <c r="C10" s="39">
        <v>249</v>
      </c>
      <c r="E10" t="s">
        <v>36</v>
      </c>
      <c r="F10" s="11">
        <f>SUMIF(B6:B25,"Jo",C6:C25)+SUMIF(B6:B25,"Joe",C6:C25)</f>
        <v>1230</v>
      </c>
    </row>
    <row r="11" spans="1:6" x14ac:dyDescent="0.3">
      <c r="A11" s="39" t="s">
        <v>23</v>
      </c>
      <c r="B11" s="39" t="s">
        <v>16</v>
      </c>
      <c r="C11" s="39">
        <v>293</v>
      </c>
    </row>
    <row r="12" spans="1:6" x14ac:dyDescent="0.3">
      <c r="A12" s="39" t="s">
        <v>24</v>
      </c>
      <c r="B12" s="39" t="s">
        <v>22</v>
      </c>
      <c r="C12" s="39">
        <v>337</v>
      </c>
    </row>
    <row r="13" spans="1:6" x14ac:dyDescent="0.3">
      <c r="A13" s="39" t="s">
        <v>25</v>
      </c>
      <c r="B13" s="39" t="s">
        <v>16</v>
      </c>
      <c r="C13" s="39">
        <v>381</v>
      </c>
    </row>
    <row r="14" spans="1:6" x14ac:dyDescent="0.3">
      <c r="A14" s="39" t="s">
        <v>26</v>
      </c>
      <c r="B14" s="39" t="s">
        <v>13</v>
      </c>
      <c r="C14" s="39">
        <v>73</v>
      </c>
    </row>
    <row r="15" spans="1:6" x14ac:dyDescent="0.3">
      <c r="A15" s="39" t="s">
        <v>26</v>
      </c>
      <c r="B15" s="39" t="s">
        <v>4</v>
      </c>
      <c r="C15" s="39">
        <v>117</v>
      </c>
    </row>
    <row r="16" spans="1:6" x14ac:dyDescent="0.3">
      <c r="A16" s="39" t="s">
        <v>27</v>
      </c>
      <c r="B16" s="39" t="s">
        <v>22</v>
      </c>
      <c r="C16" s="39">
        <v>161</v>
      </c>
    </row>
    <row r="17" spans="1:3" x14ac:dyDescent="0.3">
      <c r="A17" s="39" t="s">
        <v>28</v>
      </c>
      <c r="B17" s="39" t="s">
        <v>4</v>
      </c>
      <c r="C17" s="39">
        <v>205</v>
      </c>
    </row>
    <row r="18" spans="1:3" x14ac:dyDescent="0.3">
      <c r="A18" s="39" t="s">
        <v>29</v>
      </c>
      <c r="B18" s="39" t="s">
        <v>20</v>
      </c>
      <c r="C18" s="39">
        <v>249</v>
      </c>
    </row>
    <row r="19" spans="1:3" x14ac:dyDescent="0.3">
      <c r="A19" s="40" t="s">
        <v>30</v>
      </c>
      <c r="B19" s="39" t="s">
        <v>22</v>
      </c>
      <c r="C19" s="39">
        <v>293</v>
      </c>
    </row>
    <row r="20" spans="1:3" x14ac:dyDescent="0.3">
      <c r="A20" s="39" t="s">
        <v>24</v>
      </c>
      <c r="B20" s="39" t="s">
        <v>16</v>
      </c>
      <c r="C20" s="39">
        <v>337</v>
      </c>
    </row>
    <row r="21" spans="1:3" x14ac:dyDescent="0.3">
      <c r="A21" s="39" t="s">
        <v>25</v>
      </c>
      <c r="B21" s="39" t="s">
        <v>13</v>
      </c>
      <c r="C21" s="39">
        <v>381</v>
      </c>
    </row>
    <row r="22" spans="1:3" x14ac:dyDescent="0.3">
      <c r="A22" s="39" t="s">
        <v>26</v>
      </c>
      <c r="B22" s="39" t="s">
        <v>4</v>
      </c>
      <c r="C22" s="39">
        <v>73</v>
      </c>
    </row>
    <row r="23" spans="1:3" x14ac:dyDescent="0.3">
      <c r="A23" s="39" t="s">
        <v>26</v>
      </c>
      <c r="B23" s="39" t="s">
        <v>22</v>
      </c>
      <c r="C23" s="39">
        <v>117</v>
      </c>
    </row>
    <row r="24" spans="1:3" x14ac:dyDescent="0.3">
      <c r="A24" s="39" t="s">
        <v>27</v>
      </c>
      <c r="B24" s="39" t="s">
        <v>4</v>
      </c>
      <c r="C24" s="39">
        <v>161</v>
      </c>
    </row>
    <row r="25" spans="1:3" x14ac:dyDescent="0.3">
      <c r="A25" s="39" t="s">
        <v>28</v>
      </c>
      <c r="B25" s="39" t="s">
        <v>20</v>
      </c>
      <c r="C25" s="39">
        <v>205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B13" sqref="B13"/>
    </sheetView>
  </sheetViews>
  <sheetFormatPr defaultRowHeight="14.4" x14ac:dyDescent="0.3"/>
  <cols>
    <col min="1" max="1" width="13.109375" customWidth="1"/>
    <col min="2" max="3" width="21" bestFit="1" customWidth="1"/>
    <col min="4" max="4" width="8.109375" bestFit="1" customWidth="1"/>
  </cols>
  <sheetData>
    <row r="1" spans="1:8" x14ac:dyDescent="0.3">
      <c r="A1" s="31" t="s">
        <v>37</v>
      </c>
      <c r="B1" s="31"/>
      <c r="C1" s="31"/>
      <c r="D1" s="31"/>
      <c r="E1" s="31"/>
      <c r="F1" s="31"/>
      <c r="G1" s="31"/>
      <c r="H1" s="31"/>
    </row>
    <row r="3" spans="1:8" x14ac:dyDescent="0.3">
      <c r="A3" t="s">
        <v>40</v>
      </c>
      <c r="B3" t="s">
        <v>41</v>
      </c>
      <c r="C3" s="1" t="s">
        <v>39</v>
      </c>
      <c r="D3" s="1" t="s">
        <v>12</v>
      </c>
    </row>
    <row r="4" spans="1:8" x14ac:dyDescent="0.3">
      <c r="A4">
        <v>1</v>
      </c>
      <c r="B4" t="s">
        <v>42</v>
      </c>
      <c r="C4" s="1">
        <v>150</v>
      </c>
      <c r="D4" s="1">
        <v>750</v>
      </c>
    </row>
    <row r="5" spans="1:8" x14ac:dyDescent="0.3">
      <c r="A5">
        <v>2</v>
      </c>
      <c r="B5" t="s">
        <v>43</v>
      </c>
      <c r="C5" s="1">
        <v>200</v>
      </c>
      <c r="D5" s="1">
        <v>880</v>
      </c>
    </row>
    <row r="6" spans="1:8" x14ac:dyDescent="0.3">
      <c r="A6">
        <v>3</v>
      </c>
      <c r="B6" t="s">
        <v>44</v>
      </c>
      <c r="C6" s="1">
        <v>350</v>
      </c>
      <c r="D6" s="13">
        <v>1070</v>
      </c>
    </row>
    <row r="7" spans="1:8" x14ac:dyDescent="0.3">
      <c r="A7">
        <v>4</v>
      </c>
      <c r="B7" t="s">
        <v>45</v>
      </c>
      <c r="C7" s="1">
        <v>100</v>
      </c>
      <c r="D7" s="1">
        <v>650</v>
      </c>
    </row>
    <row r="8" spans="1:8" x14ac:dyDescent="0.3">
      <c r="A8">
        <v>5</v>
      </c>
      <c r="B8" t="s">
        <v>46</v>
      </c>
      <c r="C8" s="1">
        <v>400</v>
      </c>
      <c r="D8" s="1">
        <v>760</v>
      </c>
    </row>
    <row r="10" spans="1:8" x14ac:dyDescent="0.3">
      <c r="A10" s="12" t="s">
        <v>41</v>
      </c>
      <c r="B10" s="11" t="s">
        <v>42</v>
      </c>
    </row>
    <row r="11" spans="1:8" x14ac:dyDescent="0.3">
      <c r="A11" t="s">
        <v>35</v>
      </c>
      <c r="B11" s="5">
        <f>SUM(Table1[Quantity])</f>
        <v>1200</v>
      </c>
    </row>
    <row r="12" spans="1:8" x14ac:dyDescent="0.3">
      <c r="A12" t="s">
        <v>47</v>
      </c>
      <c r="B12" s="5">
        <f>SUM(Table1[Sales])</f>
        <v>4110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F12" sqref="F12"/>
    </sheetView>
  </sheetViews>
  <sheetFormatPr defaultRowHeight="14.4" x14ac:dyDescent="0.3"/>
  <cols>
    <col min="1" max="1" width="23.88671875" customWidth="1"/>
    <col min="2" max="2" width="10.109375" bestFit="1" customWidth="1"/>
    <col min="3" max="3" width="14.33203125" bestFit="1" customWidth="1"/>
  </cols>
  <sheetData>
    <row r="1" spans="1:4" x14ac:dyDescent="0.3">
      <c r="A1" s="31" t="s">
        <v>58</v>
      </c>
      <c r="B1" s="31"/>
      <c r="C1" s="31"/>
      <c r="D1" s="31"/>
    </row>
    <row r="3" spans="1:4" x14ac:dyDescent="0.3">
      <c r="A3" s="8" t="s">
        <v>55</v>
      </c>
      <c r="B3" s="8" t="s">
        <v>56</v>
      </c>
      <c r="C3" s="8" t="s">
        <v>57</v>
      </c>
    </row>
    <row r="4" spans="1:4" x14ac:dyDescent="0.3">
      <c r="A4" t="s">
        <v>49</v>
      </c>
      <c r="B4" t="s">
        <v>48</v>
      </c>
      <c r="C4" s="14" t="s">
        <v>411</v>
      </c>
    </row>
    <row r="5" spans="1:4" x14ac:dyDescent="0.3">
      <c r="A5" t="s">
        <v>51</v>
      </c>
      <c r="B5" t="s">
        <v>50</v>
      </c>
      <c r="C5" s="14" t="s">
        <v>412</v>
      </c>
    </row>
    <row r="6" spans="1:4" x14ac:dyDescent="0.3">
      <c r="A6" t="s">
        <v>53</v>
      </c>
      <c r="B6" t="s">
        <v>52</v>
      </c>
      <c r="C6" s="14" t="s">
        <v>413</v>
      </c>
    </row>
    <row r="7" spans="1:4" x14ac:dyDescent="0.3">
      <c r="A7" t="s">
        <v>49</v>
      </c>
      <c r="B7" t="s">
        <v>48</v>
      </c>
      <c r="C7" s="14" t="s">
        <v>411</v>
      </c>
    </row>
    <row r="8" spans="1:4" x14ac:dyDescent="0.3">
      <c r="A8" t="s">
        <v>51</v>
      </c>
      <c r="B8" t="s">
        <v>50</v>
      </c>
      <c r="C8" s="14" t="s">
        <v>412</v>
      </c>
    </row>
    <row r="9" spans="1:4" x14ac:dyDescent="0.3">
      <c r="A9" t="s">
        <v>52</v>
      </c>
      <c r="B9" t="s">
        <v>54</v>
      </c>
      <c r="C9" s="14" t="s">
        <v>414</v>
      </c>
    </row>
    <row r="10" spans="1:4" x14ac:dyDescent="0.3">
      <c r="A10" t="s">
        <v>53</v>
      </c>
      <c r="B10" t="s">
        <v>49</v>
      </c>
      <c r="C10" s="14" t="s">
        <v>415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E6" sqref="E6"/>
    </sheetView>
  </sheetViews>
  <sheetFormatPr defaultRowHeight="14.4" x14ac:dyDescent="0.3"/>
  <cols>
    <col min="1" max="1" width="36.5546875" customWidth="1"/>
  </cols>
  <sheetData>
    <row r="1" spans="1:4" x14ac:dyDescent="0.3">
      <c r="A1" s="31" t="s">
        <v>59</v>
      </c>
      <c r="B1" s="31"/>
      <c r="C1" s="31"/>
      <c r="D1" s="31"/>
    </row>
    <row r="2" spans="1:4" x14ac:dyDescent="0.3">
      <c r="A2" s="8" t="s">
        <v>33</v>
      </c>
      <c r="B2" s="8" t="s">
        <v>60</v>
      </c>
    </row>
    <row r="3" spans="1:4" x14ac:dyDescent="0.3">
      <c r="A3" s="15">
        <v>45244</v>
      </c>
      <c r="B3" s="42" t="str">
        <f>TEXT(A3,"dddd")</f>
        <v>Tuesday</v>
      </c>
    </row>
    <row r="4" spans="1:4" x14ac:dyDescent="0.3">
      <c r="A4" s="15">
        <v>44881</v>
      </c>
      <c r="B4" s="14" t="str">
        <f t="shared" ref="B4:B9" si="0">TEXT(A4,"dddd")</f>
        <v>Wednesday</v>
      </c>
    </row>
    <row r="5" spans="1:4" x14ac:dyDescent="0.3">
      <c r="A5" s="15">
        <v>44518</v>
      </c>
      <c r="B5" s="14" t="str">
        <f t="shared" si="0"/>
        <v>Thursday</v>
      </c>
    </row>
    <row r="6" spans="1:4" x14ac:dyDescent="0.3">
      <c r="A6" s="15">
        <v>44155</v>
      </c>
      <c r="B6" s="14" t="str">
        <f t="shared" si="0"/>
        <v>Friday</v>
      </c>
    </row>
    <row r="7" spans="1:4" x14ac:dyDescent="0.3">
      <c r="A7" s="15">
        <v>43792</v>
      </c>
      <c r="B7" s="14" t="str">
        <f t="shared" si="0"/>
        <v>Saturday</v>
      </c>
    </row>
    <row r="8" spans="1:4" x14ac:dyDescent="0.3">
      <c r="A8" s="15">
        <v>43429</v>
      </c>
      <c r="B8" s="14" t="str">
        <f t="shared" si="0"/>
        <v>Sunday</v>
      </c>
    </row>
    <row r="9" spans="1:4" x14ac:dyDescent="0.3">
      <c r="A9" s="15">
        <v>43066</v>
      </c>
      <c r="B9" s="14" t="str">
        <f t="shared" si="0"/>
        <v>Monday</v>
      </c>
    </row>
    <row r="15" spans="1:4" x14ac:dyDescent="0.3">
      <c r="C15" s="15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selection activeCell="F5" sqref="F5"/>
    </sheetView>
  </sheetViews>
  <sheetFormatPr defaultRowHeight="14.4" x14ac:dyDescent="0.3"/>
  <cols>
    <col min="1" max="1" width="10.5546875" customWidth="1"/>
    <col min="4" max="4" width="19.88671875" customWidth="1"/>
  </cols>
  <sheetData>
    <row r="1" spans="1:6" x14ac:dyDescent="0.3">
      <c r="A1" s="31" t="s">
        <v>63</v>
      </c>
      <c r="B1" s="31"/>
      <c r="C1" s="31"/>
      <c r="D1" s="31"/>
    </row>
    <row r="3" spans="1:6" x14ac:dyDescent="0.3">
      <c r="E3" s="3" t="s">
        <v>62</v>
      </c>
      <c r="F3" s="3" t="s">
        <v>61</v>
      </c>
    </row>
    <row r="4" spans="1:6" x14ac:dyDescent="0.3">
      <c r="A4" s="8" t="s">
        <v>12</v>
      </c>
      <c r="E4" s="3">
        <v>40</v>
      </c>
      <c r="F4" s="17">
        <f>COUNTIF(A5:A16,"&lt;40")</f>
        <v>4</v>
      </c>
    </row>
    <row r="5" spans="1:6" x14ac:dyDescent="0.3">
      <c r="A5">
        <v>20</v>
      </c>
    </row>
    <row r="6" spans="1:6" x14ac:dyDescent="0.3">
      <c r="A6">
        <v>30</v>
      </c>
    </row>
    <row r="7" spans="1:6" x14ac:dyDescent="0.3">
      <c r="A7">
        <v>40</v>
      </c>
    </row>
    <row r="8" spans="1:6" x14ac:dyDescent="0.3">
      <c r="A8">
        <v>50</v>
      </c>
    </row>
    <row r="9" spans="1:6" x14ac:dyDescent="0.3">
      <c r="A9">
        <v>60</v>
      </c>
    </row>
    <row r="10" spans="1:6" x14ac:dyDescent="0.3">
      <c r="A10">
        <v>20</v>
      </c>
    </row>
    <row r="11" spans="1:6" x14ac:dyDescent="0.3">
      <c r="A11">
        <v>30</v>
      </c>
    </row>
    <row r="12" spans="1:6" x14ac:dyDescent="0.3">
      <c r="A12">
        <v>40</v>
      </c>
    </row>
    <row r="13" spans="1:6" x14ac:dyDescent="0.3">
      <c r="A13">
        <v>50</v>
      </c>
    </row>
    <row r="14" spans="1:6" x14ac:dyDescent="0.3">
      <c r="A14">
        <v>60</v>
      </c>
    </row>
    <row r="15" spans="1:6" x14ac:dyDescent="0.3">
      <c r="A15">
        <v>70</v>
      </c>
    </row>
    <row r="16" spans="1:6" x14ac:dyDescent="0.3">
      <c r="A16">
        <v>80</v>
      </c>
    </row>
  </sheetData>
  <mergeCells count="1">
    <mergeCell ref="A1:D1"/>
  </mergeCells>
  <conditionalFormatting sqref="A5:A16">
    <cfRule type="cellIs" dxfId="1" priority="1" operator="lessThan">
      <formula>40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E4" sqref="E4"/>
    </sheetView>
  </sheetViews>
  <sheetFormatPr defaultRowHeight="14.4" x14ac:dyDescent="0.3"/>
  <cols>
    <col min="1" max="1" width="15.88671875" customWidth="1"/>
    <col min="2" max="2" width="12" bestFit="1" customWidth="1"/>
    <col min="3" max="3" width="9" bestFit="1" customWidth="1"/>
    <col min="5" max="5" width="9.44140625" bestFit="1" customWidth="1"/>
  </cols>
  <sheetData>
    <row r="1" spans="1:5" x14ac:dyDescent="0.3">
      <c r="A1" s="32" t="s">
        <v>72</v>
      </c>
      <c r="B1" s="32"/>
      <c r="C1" s="32"/>
      <c r="D1" s="32"/>
      <c r="E1" s="32"/>
    </row>
    <row r="3" spans="1:5" x14ac:dyDescent="0.3">
      <c r="A3" s="11" t="s">
        <v>0</v>
      </c>
      <c r="B3" s="11" t="s">
        <v>64</v>
      </c>
      <c r="C3" s="11" t="s">
        <v>65</v>
      </c>
      <c r="D3" s="11" t="s">
        <v>66</v>
      </c>
      <c r="E3" s="11" t="s">
        <v>67</v>
      </c>
    </row>
    <row r="4" spans="1:5" x14ac:dyDescent="0.3">
      <c r="A4" t="s">
        <v>68</v>
      </c>
      <c r="B4">
        <v>14</v>
      </c>
      <c r="C4" s="43">
        <v>0.45833333333333298</v>
      </c>
      <c r="D4" s="43">
        <v>0.875</v>
      </c>
      <c r="E4" s="44">
        <f>(D4-C4)*24*B4</f>
        <v>140.00000000000011</v>
      </c>
    </row>
    <row r="5" spans="1:5" x14ac:dyDescent="0.3">
      <c r="A5" t="s">
        <v>69</v>
      </c>
      <c r="B5">
        <v>15</v>
      </c>
      <c r="C5" s="43">
        <v>0.375</v>
      </c>
      <c r="D5" s="43">
        <v>0.875</v>
      </c>
      <c r="E5" s="44">
        <f t="shared" ref="E5:E7" si="0">(D5-C5)*24*B5</f>
        <v>180</v>
      </c>
    </row>
    <row r="6" spans="1:5" x14ac:dyDescent="0.3">
      <c r="A6" t="s">
        <v>70</v>
      </c>
      <c r="B6">
        <v>16</v>
      </c>
      <c r="C6" s="43">
        <v>0.5</v>
      </c>
      <c r="D6" s="43">
        <v>0.875</v>
      </c>
      <c r="E6" s="44">
        <f t="shared" si="0"/>
        <v>144</v>
      </c>
    </row>
    <row r="7" spans="1:5" x14ac:dyDescent="0.3">
      <c r="A7" t="s">
        <v>71</v>
      </c>
      <c r="B7">
        <v>17</v>
      </c>
      <c r="C7" s="43">
        <v>0.33333333333333331</v>
      </c>
      <c r="D7" s="43">
        <v>0.875</v>
      </c>
      <c r="E7" s="44">
        <f t="shared" si="0"/>
        <v>221.00000000000003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activeCell="B8" sqref="B8:D8"/>
    </sheetView>
  </sheetViews>
  <sheetFormatPr defaultRowHeight="14.4" x14ac:dyDescent="0.3"/>
  <cols>
    <col min="1" max="1" width="36.109375" bestFit="1" customWidth="1"/>
  </cols>
  <sheetData>
    <row r="1" spans="1:4" ht="15.6" x14ac:dyDescent="0.3">
      <c r="A1" s="33" t="s">
        <v>78</v>
      </c>
      <c r="B1" s="33"/>
      <c r="C1" s="33"/>
      <c r="D1" s="33"/>
    </row>
    <row r="3" spans="1:4" x14ac:dyDescent="0.3">
      <c r="A3" s="18" t="s">
        <v>73</v>
      </c>
    </row>
    <row r="4" spans="1:4" x14ac:dyDescent="0.3">
      <c r="A4">
        <v>0.05</v>
      </c>
    </row>
    <row r="6" spans="1:4" x14ac:dyDescent="0.3">
      <c r="A6" s="16" t="s">
        <v>14</v>
      </c>
      <c r="B6" s="20" t="s">
        <v>75</v>
      </c>
      <c r="C6" s="20" t="s">
        <v>76</v>
      </c>
      <c r="D6" s="20" t="s">
        <v>77</v>
      </c>
    </row>
    <row r="7" spans="1:4" x14ac:dyDescent="0.3">
      <c r="A7" s="16" t="s">
        <v>12</v>
      </c>
      <c r="B7" s="19">
        <v>11682</v>
      </c>
      <c r="C7" s="19">
        <v>20880</v>
      </c>
      <c r="D7" s="19">
        <v>12176</v>
      </c>
    </row>
    <row r="8" spans="1:4" x14ac:dyDescent="0.3">
      <c r="A8" s="16" t="s">
        <v>74</v>
      </c>
      <c r="B8" s="21">
        <f>B7*$A$4</f>
        <v>584.1</v>
      </c>
      <c r="C8" s="21">
        <f t="shared" ref="C8:D8" si="0">C7*$A$4</f>
        <v>1044</v>
      </c>
      <c r="D8" s="21">
        <f t="shared" si="0"/>
        <v>608.80000000000007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"/>
  <sheetViews>
    <sheetView workbookViewId="0">
      <selection activeCell="B4" sqref="B4"/>
    </sheetView>
  </sheetViews>
  <sheetFormatPr defaultRowHeight="14.4" x14ac:dyDescent="0.3"/>
  <cols>
    <col min="2" max="2" width="14.5546875" bestFit="1" customWidth="1"/>
  </cols>
  <sheetData>
    <row r="2" spans="1:8" ht="59.25" customHeight="1" x14ac:dyDescent="0.3">
      <c r="A2" s="34" t="s">
        <v>80</v>
      </c>
      <c r="B2" s="34"/>
      <c r="C2" s="34"/>
      <c r="D2" s="34"/>
      <c r="E2" s="34"/>
      <c r="F2" s="34"/>
      <c r="G2" s="34"/>
      <c r="H2" s="34"/>
    </row>
    <row r="3" spans="1:8" x14ac:dyDescent="0.3">
      <c r="A3" s="8" t="s">
        <v>79</v>
      </c>
      <c r="B3" s="8" t="s">
        <v>81</v>
      </c>
    </row>
    <row r="4" spans="1:8" x14ac:dyDescent="0.3">
      <c r="A4" s="3">
        <v>12</v>
      </c>
      <c r="B4" s="22" t="str">
        <f>IF(A4&lt;18,"Acceptable Time"," ")</f>
        <v>Acceptable Time</v>
      </c>
    </row>
    <row r="5" spans="1:8" x14ac:dyDescent="0.3">
      <c r="A5" s="3">
        <v>23</v>
      </c>
      <c r="B5" s="22" t="str">
        <f t="shared" ref="B5:B10" si="0">IF(A5&lt;18,"Acceptable Time"," ")</f>
        <v xml:space="preserve"> </v>
      </c>
    </row>
    <row r="6" spans="1:8" x14ac:dyDescent="0.3">
      <c r="A6" s="3">
        <v>10</v>
      </c>
      <c r="B6" s="22" t="str">
        <f t="shared" si="0"/>
        <v>Acceptable Time</v>
      </c>
    </row>
    <row r="7" spans="1:8" x14ac:dyDescent="0.3">
      <c r="A7" s="3">
        <v>11</v>
      </c>
      <c r="B7" s="22" t="str">
        <f t="shared" si="0"/>
        <v>Acceptable Time</v>
      </c>
    </row>
    <row r="8" spans="1:8" x14ac:dyDescent="0.3">
      <c r="A8" s="3">
        <v>16</v>
      </c>
      <c r="B8" s="22" t="str">
        <f t="shared" si="0"/>
        <v>Acceptable Time</v>
      </c>
    </row>
    <row r="9" spans="1:8" x14ac:dyDescent="0.3">
      <c r="A9" s="3">
        <v>18</v>
      </c>
      <c r="B9" s="22" t="str">
        <f t="shared" si="0"/>
        <v xml:space="preserve"> </v>
      </c>
    </row>
    <row r="10" spans="1:8" x14ac:dyDescent="0.3">
      <c r="A10" s="3">
        <v>16</v>
      </c>
      <c r="B10" s="22" t="str">
        <f t="shared" si="0"/>
        <v>Acceptable Time</v>
      </c>
    </row>
  </sheetData>
  <mergeCells count="1">
    <mergeCell ref="A2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workbookViewId="0">
      <selection activeCell="H4" sqref="H4"/>
    </sheetView>
  </sheetViews>
  <sheetFormatPr defaultRowHeight="14.4" x14ac:dyDescent="0.3"/>
  <cols>
    <col min="1" max="1" width="10" customWidth="1"/>
    <col min="3" max="3" width="16.109375" bestFit="1" customWidth="1"/>
    <col min="6" max="6" width="18.5546875" customWidth="1"/>
    <col min="7" max="7" width="5" bestFit="1" customWidth="1"/>
  </cols>
  <sheetData>
    <row r="1" spans="1:8" ht="47.25" customHeight="1" x14ac:dyDescent="0.3">
      <c r="A1" s="35" t="s">
        <v>416</v>
      </c>
      <c r="B1" s="35"/>
      <c r="C1" s="35"/>
      <c r="D1" s="35"/>
      <c r="E1" s="35"/>
      <c r="F1" s="35"/>
      <c r="G1" s="35"/>
    </row>
    <row r="3" spans="1:8" x14ac:dyDescent="0.3">
      <c r="A3" t="s">
        <v>82</v>
      </c>
      <c r="B3" t="s">
        <v>83</v>
      </c>
      <c r="C3" t="s">
        <v>84</v>
      </c>
      <c r="F3" s="8" t="s">
        <v>84</v>
      </c>
      <c r="G3" s="8" t="s">
        <v>83</v>
      </c>
      <c r="H3" s="8" t="s">
        <v>82</v>
      </c>
    </row>
    <row r="4" spans="1:8" x14ac:dyDescent="0.3">
      <c r="A4" t="s">
        <v>85</v>
      </c>
      <c r="B4">
        <v>23</v>
      </c>
      <c r="C4" t="s">
        <v>91</v>
      </c>
      <c r="F4" s="14" t="s">
        <v>96</v>
      </c>
      <c r="G4" s="14">
        <f>_xlfn.XLOOKUP(F4,Table2[Description],Table2[Price])</f>
        <v>45</v>
      </c>
      <c r="H4" s="14" t="str">
        <f>_xlfn.XLOOKUP(F4,Table2[Description],Table2[Product])</f>
        <v>Phenolic</v>
      </c>
    </row>
    <row r="5" spans="1:8" x14ac:dyDescent="0.3">
      <c r="A5" t="s">
        <v>86</v>
      </c>
      <c r="B5">
        <v>30</v>
      </c>
      <c r="C5" t="s">
        <v>92</v>
      </c>
    </row>
    <row r="6" spans="1:8" x14ac:dyDescent="0.3">
      <c r="A6" t="s">
        <v>87</v>
      </c>
      <c r="B6">
        <v>22</v>
      </c>
      <c r="C6" t="s">
        <v>93</v>
      </c>
    </row>
    <row r="7" spans="1:8" x14ac:dyDescent="0.3">
      <c r="A7" t="s">
        <v>88</v>
      </c>
      <c r="B7">
        <v>25</v>
      </c>
      <c r="C7" t="s">
        <v>94</v>
      </c>
    </row>
    <row r="8" spans="1:8" x14ac:dyDescent="0.3">
      <c r="A8" t="s">
        <v>89</v>
      </c>
      <c r="B8">
        <v>23</v>
      </c>
      <c r="C8" t="s">
        <v>95</v>
      </c>
    </row>
    <row r="9" spans="1:8" x14ac:dyDescent="0.3">
      <c r="A9" t="s">
        <v>90</v>
      </c>
      <c r="B9">
        <v>45</v>
      </c>
      <c r="C9" t="s">
        <v>96</v>
      </c>
    </row>
  </sheetData>
  <mergeCells count="1">
    <mergeCell ref="A1:G1"/>
  </mergeCells>
  <dataValidations count="1">
    <dataValidation type="list" allowBlank="1" showInputMessage="1" showErrorMessage="1" sqref="F4" xr:uid="{60B8DCAA-D089-4381-8C4A-270EF227F829}">
      <formula1>$C$4:$C$9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3"/>
  <sheetViews>
    <sheetView workbookViewId="0">
      <selection activeCell="E16" sqref="E16"/>
    </sheetView>
  </sheetViews>
  <sheetFormatPr defaultRowHeight="14.4" x14ac:dyDescent="0.3"/>
  <cols>
    <col min="1" max="1" width="15" customWidth="1"/>
    <col min="2" max="2" width="13.88671875" customWidth="1"/>
    <col min="4" max="4" width="15.6640625" bestFit="1" customWidth="1"/>
    <col min="5" max="5" width="14" customWidth="1"/>
    <col min="9" max="9" width="15.109375" customWidth="1"/>
    <col min="10" max="10" width="23.33203125" customWidth="1"/>
  </cols>
  <sheetData>
    <row r="1" spans="1:10" x14ac:dyDescent="0.3">
      <c r="A1" s="32" t="s">
        <v>144</v>
      </c>
      <c r="B1" s="32"/>
      <c r="C1" s="32"/>
      <c r="D1" s="32"/>
      <c r="E1" s="32"/>
    </row>
    <row r="2" spans="1:10" x14ac:dyDescent="0.3">
      <c r="I2" s="36" t="s">
        <v>143</v>
      </c>
      <c r="J2" s="36"/>
    </row>
    <row r="3" spans="1:10" x14ac:dyDescent="0.3">
      <c r="A3" s="9" t="s">
        <v>33</v>
      </c>
      <c r="B3" s="9" t="s">
        <v>97</v>
      </c>
      <c r="C3" s="9" t="s">
        <v>12</v>
      </c>
      <c r="D3" s="9" t="s">
        <v>142</v>
      </c>
      <c r="I3" s="25" t="s">
        <v>97</v>
      </c>
      <c r="J3" s="25" t="s">
        <v>142</v>
      </c>
    </row>
    <row r="4" spans="1:10" x14ac:dyDescent="0.3">
      <c r="A4" s="24" t="s">
        <v>98</v>
      </c>
      <c r="B4" s="23" t="s">
        <v>99</v>
      </c>
      <c r="C4" s="23" t="s">
        <v>120</v>
      </c>
      <c r="D4" s="23" t="str">
        <f>_xlfn.XLOOKUP(B4,$I$4:$I$6,$J$4:$J$6)</f>
        <v>OUTDOOR-1876</v>
      </c>
      <c r="I4" s="3" t="s">
        <v>106</v>
      </c>
      <c r="J4" s="3" t="s">
        <v>139</v>
      </c>
    </row>
    <row r="5" spans="1:10" x14ac:dyDescent="0.3">
      <c r="A5" s="24" t="s">
        <v>100</v>
      </c>
      <c r="B5" s="23" t="s">
        <v>99</v>
      </c>
      <c r="C5" s="23" t="s">
        <v>121</v>
      </c>
      <c r="D5" s="23" t="str">
        <f t="shared" ref="D5:D22" si="0">_xlfn.XLOOKUP(B5,$I$4:$I$6,$J$4:$J$6)</f>
        <v>OUTDOOR-1876</v>
      </c>
      <c r="I5" s="3" t="s">
        <v>99</v>
      </c>
      <c r="J5" s="3" t="s">
        <v>140</v>
      </c>
    </row>
    <row r="6" spans="1:10" x14ac:dyDescent="0.3">
      <c r="A6" s="24" t="s">
        <v>101</v>
      </c>
      <c r="B6" s="23" t="s">
        <v>102</v>
      </c>
      <c r="C6" s="23" t="s">
        <v>122</v>
      </c>
      <c r="D6" s="23" t="str">
        <f t="shared" si="0"/>
        <v>SPORT-1743</v>
      </c>
      <c r="I6" s="3" t="s">
        <v>102</v>
      </c>
      <c r="J6" s="3" t="s">
        <v>141</v>
      </c>
    </row>
    <row r="7" spans="1:10" x14ac:dyDescent="0.3">
      <c r="A7" s="24" t="s">
        <v>103</v>
      </c>
      <c r="B7" s="23" t="s">
        <v>99</v>
      </c>
      <c r="C7" s="23" t="s">
        <v>123</v>
      </c>
      <c r="D7" s="23" t="str">
        <f t="shared" si="0"/>
        <v>OUTDOOR-1876</v>
      </c>
    </row>
    <row r="8" spans="1:10" x14ac:dyDescent="0.3">
      <c r="A8" s="24" t="s">
        <v>104</v>
      </c>
      <c r="B8" s="23" t="s">
        <v>102</v>
      </c>
      <c r="C8" s="23" t="s">
        <v>124</v>
      </c>
      <c r="D8" s="23" t="str">
        <f t="shared" si="0"/>
        <v>SPORT-1743</v>
      </c>
    </row>
    <row r="9" spans="1:10" x14ac:dyDescent="0.3">
      <c r="A9" s="24" t="s">
        <v>105</v>
      </c>
      <c r="B9" s="23" t="s">
        <v>106</v>
      </c>
      <c r="C9" s="23" t="s">
        <v>125</v>
      </c>
      <c r="D9" s="23" t="str">
        <f t="shared" si="0"/>
        <v>RAD-1084</v>
      </c>
    </row>
    <row r="10" spans="1:10" x14ac:dyDescent="0.3">
      <c r="A10" s="24" t="s">
        <v>107</v>
      </c>
      <c r="B10" s="23" t="s">
        <v>106</v>
      </c>
      <c r="C10" s="23" t="s">
        <v>126</v>
      </c>
      <c r="D10" s="23" t="str">
        <f t="shared" si="0"/>
        <v>RAD-1084</v>
      </c>
    </row>
    <row r="11" spans="1:10" x14ac:dyDescent="0.3">
      <c r="A11" s="24" t="s">
        <v>108</v>
      </c>
      <c r="B11" s="23" t="s">
        <v>102</v>
      </c>
      <c r="C11" s="23" t="s">
        <v>127</v>
      </c>
      <c r="D11" s="23" t="str">
        <f t="shared" si="0"/>
        <v>SPORT-1743</v>
      </c>
    </row>
    <row r="12" spans="1:10" x14ac:dyDescent="0.3">
      <c r="A12" s="24" t="s">
        <v>109</v>
      </c>
      <c r="B12" s="23" t="s">
        <v>106</v>
      </c>
      <c r="C12" s="23" t="s">
        <v>128</v>
      </c>
      <c r="D12" s="23" t="str">
        <f t="shared" si="0"/>
        <v>RAD-1084</v>
      </c>
    </row>
    <row r="13" spans="1:10" x14ac:dyDescent="0.3">
      <c r="A13" s="24" t="s">
        <v>110</v>
      </c>
      <c r="B13" s="23" t="s">
        <v>106</v>
      </c>
      <c r="C13" s="23" t="s">
        <v>129</v>
      </c>
      <c r="D13" s="23" t="str">
        <f t="shared" si="0"/>
        <v>RAD-1084</v>
      </c>
    </row>
    <row r="14" spans="1:10" x14ac:dyDescent="0.3">
      <c r="A14" s="24" t="s">
        <v>111</v>
      </c>
      <c r="B14" s="23" t="s">
        <v>102</v>
      </c>
      <c r="C14" s="23" t="s">
        <v>130</v>
      </c>
      <c r="D14" s="23" t="str">
        <f t="shared" si="0"/>
        <v>SPORT-1743</v>
      </c>
    </row>
    <row r="15" spans="1:10" x14ac:dyDescent="0.3">
      <c r="A15" s="24" t="s">
        <v>112</v>
      </c>
      <c r="B15" s="23" t="s">
        <v>106</v>
      </c>
      <c r="C15" s="23" t="s">
        <v>131</v>
      </c>
      <c r="D15" s="23" t="str">
        <f t="shared" si="0"/>
        <v>RAD-1084</v>
      </c>
    </row>
    <row r="16" spans="1:10" x14ac:dyDescent="0.3">
      <c r="A16" s="24" t="s">
        <v>113</v>
      </c>
      <c r="B16" s="23" t="s">
        <v>99</v>
      </c>
      <c r="C16" s="23" t="s">
        <v>132</v>
      </c>
      <c r="D16" s="23" t="str">
        <f t="shared" si="0"/>
        <v>OUTDOOR-1876</v>
      </c>
    </row>
    <row r="17" spans="1:4" x14ac:dyDescent="0.3">
      <c r="A17" s="24" t="s">
        <v>114</v>
      </c>
      <c r="B17" s="23" t="s">
        <v>99</v>
      </c>
      <c r="C17" s="23" t="s">
        <v>133</v>
      </c>
      <c r="D17" s="23" t="str">
        <f t="shared" si="0"/>
        <v>OUTDOOR-1876</v>
      </c>
    </row>
    <row r="18" spans="1:4" x14ac:dyDescent="0.3">
      <c r="A18" s="24" t="s">
        <v>115</v>
      </c>
      <c r="B18" s="23" t="s">
        <v>99</v>
      </c>
      <c r="C18" s="23" t="s">
        <v>134</v>
      </c>
      <c r="D18" s="23" t="str">
        <f t="shared" si="0"/>
        <v>OUTDOOR-1876</v>
      </c>
    </row>
    <row r="19" spans="1:4" x14ac:dyDescent="0.3">
      <c r="A19" s="24" t="s">
        <v>116</v>
      </c>
      <c r="B19" s="23" t="s">
        <v>99</v>
      </c>
      <c r="C19" s="23" t="s">
        <v>135</v>
      </c>
      <c r="D19" s="23" t="str">
        <f t="shared" si="0"/>
        <v>OUTDOOR-1876</v>
      </c>
    </row>
    <row r="20" spans="1:4" x14ac:dyDescent="0.3">
      <c r="A20" s="24" t="s">
        <v>117</v>
      </c>
      <c r="B20" s="23" t="s">
        <v>99</v>
      </c>
      <c r="C20" s="23" t="s">
        <v>136</v>
      </c>
      <c r="D20" s="23" t="str">
        <f t="shared" si="0"/>
        <v>OUTDOOR-1876</v>
      </c>
    </row>
    <row r="21" spans="1:4" x14ac:dyDescent="0.3">
      <c r="A21" s="24" t="s">
        <v>118</v>
      </c>
      <c r="B21" s="23" t="s">
        <v>99</v>
      </c>
      <c r="C21" s="23" t="s">
        <v>137</v>
      </c>
      <c r="D21" s="23" t="str">
        <f t="shared" si="0"/>
        <v>OUTDOOR-1876</v>
      </c>
    </row>
    <row r="22" spans="1:4" x14ac:dyDescent="0.3">
      <c r="A22" s="24" t="s">
        <v>119</v>
      </c>
      <c r="B22" s="23" t="s">
        <v>102</v>
      </c>
      <c r="C22" s="23" t="s">
        <v>138</v>
      </c>
      <c r="D22" s="23" t="str">
        <f t="shared" si="0"/>
        <v>SPORT-1743</v>
      </c>
    </row>
    <row r="23" spans="1:4" x14ac:dyDescent="0.3">
      <c r="D23" s="23"/>
    </row>
  </sheetData>
  <mergeCells count="2">
    <mergeCell ref="I2:J2"/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>
      <selection activeCell="C14" sqref="C14"/>
    </sheetView>
  </sheetViews>
  <sheetFormatPr defaultRowHeight="14.4" x14ac:dyDescent="0.3"/>
  <cols>
    <col min="1" max="1" width="26.88671875" customWidth="1"/>
  </cols>
  <sheetData>
    <row r="1" spans="1:3" x14ac:dyDescent="0.3">
      <c r="A1" s="11" t="s">
        <v>145</v>
      </c>
      <c r="B1" s="11"/>
      <c r="C1" s="11"/>
    </row>
    <row r="3" spans="1:3" x14ac:dyDescent="0.3">
      <c r="A3" s="9" t="s">
        <v>146</v>
      </c>
      <c r="B3" s="9" t="s">
        <v>38</v>
      </c>
    </row>
    <row r="4" spans="1:3" x14ac:dyDescent="0.3">
      <c r="A4" s="3" t="s">
        <v>147</v>
      </c>
      <c r="B4" s="3" t="str">
        <f>LEFT(A4,FIND("@",A4)-1)</f>
        <v>Sahil.sahil</v>
      </c>
    </row>
    <row r="5" spans="1:3" x14ac:dyDescent="0.3">
      <c r="A5" s="3" t="s">
        <v>148</v>
      </c>
      <c r="B5" s="3" t="str">
        <f t="shared" ref="B5:B8" si="0">LEFT(A5,FIND("@",A5)-1)</f>
        <v>Aishwarya</v>
      </c>
    </row>
    <row r="6" spans="1:3" x14ac:dyDescent="0.3">
      <c r="A6" s="3" t="s">
        <v>149</v>
      </c>
      <c r="B6" s="3" t="str">
        <f t="shared" si="0"/>
        <v>Rahul</v>
      </c>
    </row>
    <row r="7" spans="1:3" x14ac:dyDescent="0.3">
      <c r="A7" s="3" t="s">
        <v>150</v>
      </c>
      <c r="B7" s="3" t="str">
        <f t="shared" si="0"/>
        <v>Rishita</v>
      </c>
    </row>
    <row r="8" spans="1:3" x14ac:dyDescent="0.3">
      <c r="A8" s="3" t="s">
        <v>151</v>
      </c>
      <c r="B8" s="3" t="str">
        <f t="shared" si="0"/>
        <v>Ankita</v>
      </c>
    </row>
  </sheetData>
  <hyperlinks>
    <hyperlink ref="A5" r:id="rId1" xr:uid="{00000000-0004-0000-0B00-000000000000}"/>
    <hyperlink ref="A6" r:id="rId2" xr:uid="{00000000-0004-0000-0B00-000001000000}"/>
    <hyperlink ref="A7" r:id="rId3" xr:uid="{00000000-0004-0000-0B00-000002000000}"/>
    <hyperlink ref="A8" r:id="rId4" xr:uid="{00000000-0004-0000-0B00-000003000000}"/>
  </hyperlinks>
  <pageMargins left="0.7" right="0.7" top="0.75" bottom="0.75" header="0.3" footer="0.3"/>
  <pageSetup orientation="portrait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47"/>
  <sheetViews>
    <sheetView tabSelected="1" workbookViewId="0">
      <selection activeCell="B5" sqref="B5"/>
    </sheetView>
  </sheetViews>
  <sheetFormatPr defaultRowHeight="14.4" x14ac:dyDescent="0.3"/>
  <cols>
    <col min="1" max="1" width="7.88671875" bestFit="1" customWidth="1"/>
    <col min="8" max="8" width="14.33203125" customWidth="1"/>
    <col min="9" max="10" width="17.33203125" customWidth="1"/>
    <col min="11" max="11" width="7.109375" customWidth="1"/>
  </cols>
  <sheetData>
    <row r="1" spans="1:11" ht="24" customHeight="1" x14ac:dyDescent="0.3">
      <c r="A1" s="37" t="s">
        <v>408</v>
      </c>
      <c r="B1" s="37"/>
      <c r="C1" s="37"/>
      <c r="D1" s="37"/>
      <c r="E1" s="37"/>
    </row>
    <row r="2" spans="1:11" x14ac:dyDescent="0.3">
      <c r="I2" s="38" t="s">
        <v>143</v>
      </c>
      <c r="J2" s="38"/>
      <c r="K2" s="38"/>
    </row>
    <row r="3" spans="1:11" ht="15.6" x14ac:dyDescent="0.3">
      <c r="A3" s="8" t="s">
        <v>396</v>
      </c>
      <c r="B3" s="8" t="s">
        <v>407</v>
      </c>
      <c r="I3" s="27" t="s">
        <v>82</v>
      </c>
      <c r="J3" s="26" t="s">
        <v>396</v>
      </c>
      <c r="K3" s="27" t="s">
        <v>397</v>
      </c>
    </row>
    <row r="4" spans="1:11" x14ac:dyDescent="0.3">
      <c r="A4" t="s">
        <v>162</v>
      </c>
      <c r="B4">
        <f>_xlfn.XLOOKUP(A4,$J$4:$J$247,$K$4:$K$247)</f>
        <v>41</v>
      </c>
      <c r="I4" s="29" t="s">
        <v>398</v>
      </c>
      <c r="J4" s="28" t="s">
        <v>152</v>
      </c>
      <c r="K4" s="29">
        <v>87</v>
      </c>
    </row>
    <row r="5" spans="1:11" x14ac:dyDescent="0.3">
      <c r="A5" t="s">
        <v>163</v>
      </c>
      <c r="B5">
        <f t="shared" ref="B5:B68" si="0">_xlfn.XLOOKUP(A5,$J$4:$J$247,$K$4:$K$247)</f>
        <v>26</v>
      </c>
      <c r="I5" s="29" t="s">
        <v>398</v>
      </c>
      <c r="J5" s="28" t="s">
        <v>153</v>
      </c>
      <c r="K5" s="29">
        <v>149</v>
      </c>
    </row>
    <row r="6" spans="1:11" x14ac:dyDescent="0.3">
      <c r="A6" t="s">
        <v>164</v>
      </c>
      <c r="B6">
        <f t="shared" si="0"/>
        <v>34</v>
      </c>
      <c r="I6" s="29" t="s">
        <v>398</v>
      </c>
      <c r="J6" s="28" t="s">
        <v>154</v>
      </c>
      <c r="K6" s="29">
        <v>28</v>
      </c>
    </row>
    <row r="7" spans="1:11" x14ac:dyDescent="0.3">
      <c r="A7" t="s">
        <v>165</v>
      </c>
      <c r="B7">
        <f t="shared" si="0"/>
        <v>23</v>
      </c>
      <c r="I7" s="29" t="s">
        <v>398</v>
      </c>
      <c r="J7" s="28" t="s">
        <v>155</v>
      </c>
      <c r="K7" s="29">
        <v>40</v>
      </c>
    </row>
    <row r="8" spans="1:11" x14ac:dyDescent="0.3">
      <c r="A8" t="s">
        <v>166</v>
      </c>
      <c r="B8">
        <f t="shared" si="0"/>
        <v>30</v>
      </c>
      <c r="I8" s="29" t="s">
        <v>398</v>
      </c>
      <c r="J8" s="28" t="s">
        <v>156</v>
      </c>
      <c r="K8" s="29">
        <v>33</v>
      </c>
    </row>
    <row r="9" spans="1:11" x14ac:dyDescent="0.3">
      <c r="A9" t="s">
        <v>167</v>
      </c>
      <c r="B9">
        <f t="shared" si="0"/>
        <v>20</v>
      </c>
      <c r="I9" s="29" t="s">
        <v>398</v>
      </c>
      <c r="J9" s="28" t="s">
        <v>157</v>
      </c>
      <c r="K9" s="29">
        <v>38</v>
      </c>
    </row>
    <row r="10" spans="1:11" x14ac:dyDescent="0.3">
      <c r="A10" t="s">
        <v>168</v>
      </c>
      <c r="B10">
        <f t="shared" si="0"/>
        <v>30</v>
      </c>
      <c r="I10" s="29" t="s">
        <v>398</v>
      </c>
      <c r="J10" s="28" t="s">
        <v>158</v>
      </c>
      <c r="K10" s="29">
        <v>42</v>
      </c>
    </row>
    <row r="11" spans="1:11" x14ac:dyDescent="0.3">
      <c r="A11" t="s">
        <v>169</v>
      </c>
      <c r="B11">
        <f t="shared" si="0"/>
        <v>27</v>
      </c>
      <c r="I11" s="29" t="s">
        <v>398</v>
      </c>
      <c r="J11" s="28" t="s">
        <v>159</v>
      </c>
      <c r="K11" s="29">
        <v>21</v>
      </c>
    </row>
    <row r="12" spans="1:11" x14ac:dyDescent="0.3">
      <c r="A12" t="s">
        <v>170</v>
      </c>
      <c r="B12">
        <f t="shared" si="0"/>
        <v>29</v>
      </c>
      <c r="I12" s="29" t="s">
        <v>398</v>
      </c>
      <c r="J12" s="28" t="s">
        <v>160</v>
      </c>
      <c r="K12" s="29">
        <v>38</v>
      </c>
    </row>
    <row r="13" spans="1:11" x14ac:dyDescent="0.3">
      <c r="A13" t="s">
        <v>171</v>
      </c>
      <c r="B13">
        <f t="shared" si="0"/>
        <v>31</v>
      </c>
      <c r="I13" s="29" t="s">
        <v>398</v>
      </c>
      <c r="J13" s="28" t="s">
        <v>161</v>
      </c>
      <c r="K13" s="29">
        <v>46</v>
      </c>
    </row>
    <row r="14" spans="1:11" x14ac:dyDescent="0.3">
      <c r="A14" t="s">
        <v>172</v>
      </c>
      <c r="B14">
        <f t="shared" si="0"/>
        <v>30</v>
      </c>
      <c r="I14" s="29" t="s">
        <v>398</v>
      </c>
      <c r="J14" s="28" t="s">
        <v>162</v>
      </c>
      <c r="K14" s="29">
        <v>41</v>
      </c>
    </row>
    <row r="15" spans="1:11" x14ac:dyDescent="0.3">
      <c r="A15" t="s">
        <v>173</v>
      </c>
      <c r="B15">
        <f t="shared" si="0"/>
        <v>22</v>
      </c>
      <c r="I15" s="29" t="s">
        <v>398</v>
      </c>
      <c r="J15" s="28" t="s">
        <v>163</v>
      </c>
      <c r="K15" s="29">
        <v>26</v>
      </c>
    </row>
    <row r="16" spans="1:11" x14ac:dyDescent="0.3">
      <c r="A16" t="s">
        <v>152</v>
      </c>
      <c r="B16">
        <f t="shared" si="0"/>
        <v>87</v>
      </c>
      <c r="I16" s="29" t="s">
        <v>398</v>
      </c>
      <c r="J16" s="28" t="s">
        <v>164</v>
      </c>
      <c r="K16" s="29">
        <v>34</v>
      </c>
    </row>
    <row r="17" spans="1:11" x14ac:dyDescent="0.3">
      <c r="A17" t="s">
        <v>153</v>
      </c>
      <c r="B17">
        <f t="shared" si="0"/>
        <v>149</v>
      </c>
      <c r="I17" s="29" t="s">
        <v>398</v>
      </c>
      <c r="J17" s="28" t="s">
        <v>165</v>
      </c>
      <c r="K17" s="29">
        <v>23</v>
      </c>
    </row>
    <row r="18" spans="1:11" x14ac:dyDescent="0.3">
      <c r="A18" t="s">
        <v>154</v>
      </c>
      <c r="B18">
        <f t="shared" si="0"/>
        <v>28</v>
      </c>
      <c r="I18" s="29" t="s">
        <v>398</v>
      </c>
      <c r="J18" s="28" t="s">
        <v>166</v>
      </c>
      <c r="K18" s="29">
        <v>30</v>
      </c>
    </row>
    <row r="19" spans="1:11" x14ac:dyDescent="0.3">
      <c r="A19" t="s">
        <v>155</v>
      </c>
      <c r="B19">
        <f t="shared" si="0"/>
        <v>40</v>
      </c>
      <c r="I19" s="29" t="s">
        <v>398</v>
      </c>
      <c r="J19" s="28" t="s">
        <v>167</v>
      </c>
      <c r="K19" s="29">
        <v>20</v>
      </c>
    </row>
    <row r="20" spans="1:11" x14ac:dyDescent="0.3">
      <c r="A20" t="s">
        <v>156</v>
      </c>
      <c r="B20">
        <f t="shared" si="0"/>
        <v>33</v>
      </c>
      <c r="I20" s="29" t="s">
        <v>398</v>
      </c>
      <c r="J20" s="28" t="s">
        <v>168</v>
      </c>
      <c r="K20" s="29">
        <v>30</v>
      </c>
    </row>
    <row r="21" spans="1:11" x14ac:dyDescent="0.3">
      <c r="A21" t="s">
        <v>157</v>
      </c>
      <c r="B21">
        <f t="shared" si="0"/>
        <v>38</v>
      </c>
      <c r="I21" s="29" t="s">
        <v>399</v>
      </c>
      <c r="J21" s="28" t="s">
        <v>169</v>
      </c>
      <c r="K21" s="29">
        <v>27</v>
      </c>
    </row>
    <row r="22" spans="1:11" x14ac:dyDescent="0.3">
      <c r="A22" t="s">
        <v>158</v>
      </c>
      <c r="B22">
        <f t="shared" si="0"/>
        <v>42</v>
      </c>
      <c r="I22" s="29" t="s">
        <v>399</v>
      </c>
      <c r="J22" s="28" t="s">
        <v>170</v>
      </c>
      <c r="K22" s="29">
        <v>29</v>
      </c>
    </row>
    <row r="23" spans="1:11" x14ac:dyDescent="0.3">
      <c r="A23" t="s">
        <v>159</v>
      </c>
      <c r="B23">
        <f t="shared" si="0"/>
        <v>21</v>
      </c>
      <c r="I23" s="29" t="s">
        <v>399</v>
      </c>
      <c r="J23" s="28" t="s">
        <v>171</v>
      </c>
      <c r="K23" s="29">
        <v>31</v>
      </c>
    </row>
    <row r="24" spans="1:11" x14ac:dyDescent="0.3">
      <c r="A24" t="s">
        <v>160</v>
      </c>
      <c r="B24">
        <f t="shared" si="0"/>
        <v>38</v>
      </c>
      <c r="I24" s="29" t="s">
        <v>399</v>
      </c>
      <c r="J24" s="28" t="s">
        <v>172</v>
      </c>
      <c r="K24" s="29">
        <v>30</v>
      </c>
    </row>
    <row r="25" spans="1:11" x14ac:dyDescent="0.3">
      <c r="A25" t="s">
        <v>161</v>
      </c>
      <c r="B25">
        <f t="shared" si="0"/>
        <v>46</v>
      </c>
      <c r="I25" s="29" t="s">
        <v>399</v>
      </c>
      <c r="J25" s="28" t="s">
        <v>173</v>
      </c>
      <c r="K25" s="29">
        <v>22</v>
      </c>
    </row>
    <row r="26" spans="1:11" x14ac:dyDescent="0.3">
      <c r="A26" t="s">
        <v>175</v>
      </c>
      <c r="B26">
        <f t="shared" si="0"/>
        <v>21</v>
      </c>
      <c r="I26" s="29" t="s">
        <v>399</v>
      </c>
      <c r="J26" s="28" t="s">
        <v>174</v>
      </c>
      <c r="K26" s="29">
        <v>26</v>
      </c>
    </row>
    <row r="27" spans="1:11" x14ac:dyDescent="0.3">
      <c r="A27" t="s">
        <v>176</v>
      </c>
      <c r="B27">
        <f t="shared" si="0"/>
        <v>134</v>
      </c>
      <c r="I27" s="29" t="s">
        <v>399</v>
      </c>
      <c r="J27" s="28" t="s">
        <v>175</v>
      </c>
      <c r="K27" s="29">
        <v>21</v>
      </c>
    </row>
    <row r="28" spans="1:11" x14ac:dyDescent="0.3">
      <c r="A28" t="s">
        <v>177</v>
      </c>
      <c r="B28">
        <f t="shared" si="0"/>
        <v>24</v>
      </c>
      <c r="I28" s="29" t="s">
        <v>400</v>
      </c>
      <c r="J28" s="28" t="s">
        <v>176</v>
      </c>
      <c r="K28" s="29">
        <v>134</v>
      </c>
    </row>
    <row r="29" spans="1:11" x14ac:dyDescent="0.3">
      <c r="A29" t="s">
        <v>178</v>
      </c>
      <c r="B29">
        <f t="shared" si="0"/>
        <v>47</v>
      </c>
      <c r="I29" s="29" t="s">
        <v>400</v>
      </c>
      <c r="J29" s="28" t="s">
        <v>177</v>
      </c>
      <c r="K29" s="29">
        <v>24</v>
      </c>
    </row>
    <row r="30" spans="1:11" x14ac:dyDescent="0.3">
      <c r="A30" t="s">
        <v>179</v>
      </c>
      <c r="B30">
        <f t="shared" si="0"/>
        <v>123</v>
      </c>
      <c r="I30" s="29" t="s">
        <v>400</v>
      </c>
      <c r="J30" s="28" t="s">
        <v>178</v>
      </c>
      <c r="K30" s="29">
        <v>47</v>
      </c>
    </row>
    <row r="31" spans="1:11" x14ac:dyDescent="0.3">
      <c r="A31" t="s">
        <v>180</v>
      </c>
      <c r="B31">
        <f t="shared" si="0"/>
        <v>193</v>
      </c>
      <c r="I31" s="29" t="s">
        <v>401</v>
      </c>
      <c r="J31" s="28" t="s">
        <v>179</v>
      </c>
      <c r="K31" s="29">
        <v>123</v>
      </c>
    </row>
    <row r="32" spans="1:11" x14ac:dyDescent="0.3">
      <c r="A32" t="s">
        <v>181</v>
      </c>
      <c r="B32">
        <f t="shared" si="0"/>
        <v>138</v>
      </c>
      <c r="I32" s="29" t="s">
        <v>401</v>
      </c>
      <c r="J32" s="28" t="s">
        <v>180</v>
      </c>
      <c r="K32" s="29">
        <v>193</v>
      </c>
    </row>
    <row r="33" spans="1:11" x14ac:dyDescent="0.3">
      <c r="A33" t="s">
        <v>182</v>
      </c>
      <c r="B33">
        <f t="shared" si="0"/>
        <v>137</v>
      </c>
      <c r="I33" s="29" t="s">
        <v>401</v>
      </c>
      <c r="J33" s="28" t="s">
        <v>181</v>
      </c>
      <c r="K33" s="29">
        <v>138</v>
      </c>
    </row>
    <row r="34" spans="1:11" x14ac:dyDescent="0.3">
      <c r="A34" t="s">
        <v>183</v>
      </c>
      <c r="B34">
        <f t="shared" si="0"/>
        <v>97</v>
      </c>
      <c r="I34" s="29" t="s">
        <v>401</v>
      </c>
      <c r="J34" s="28" t="s">
        <v>182</v>
      </c>
      <c r="K34" s="29">
        <v>137</v>
      </c>
    </row>
    <row r="35" spans="1:11" x14ac:dyDescent="0.3">
      <c r="A35" t="s">
        <v>184</v>
      </c>
      <c r="B35">
        <f t="shared" si="0"/>
        <v>123</v>
      </c>
      <c r="I35" s="29" t="s">
        <v>401</v>
      </c>
      <c r="J35" s="28" t="s">
        <v>183</v>
      </c>
      <c r="K35" s="29">
        <v>97</v>
      </c>
    </row>
    <row r="36" spans="1:11" x14ac:dyDescent="0.3">
      <c r="A36" t="s">
        <v>185</v>
      </c>
      <c r="B36">
        <f t="shared" si="0"/>
        <v>129</v>
      </c>
      <c r="I36" s="29" t="s">
        <v>401</v>
      </c>
      <c r="J36" s="28" t="s">
        <v>184</v>
      </c>
      <c r="K36" s="29">
        <v>123</v>
      </c>
    </row>
    <row r="37" spans="1:11" x14ac:dyDescent="0.3">
      <c r="A37" t="s">
        <v>186</v>
      </c>
      <c r="B37">
        <f t="shared" si="0"/>
        <v>120</v>
      </c>
      <c r="I37" s="29" t="s">
        <v>401</v>
      </c>
      <c r="J37" s="28" t="s">
        <v>185</v>
      </c>
      <c r="K37" s="29">
        <v>129</v>
      </c>
    </row>
    <row r="38" spans="1:11" x14ac:dyDescent="0.3">
      <c r="A38" t="s">
        <v>187</v>
      </c>
      <c r="B38">
        <f t="shared" si="0"/>
        <v>124</v>
      </c>
      <c r="I38" s="29" t="s">
        <v>401</v>
      </c>
      <c r="J38" s="28" t="s">
        <v>186</v>
      </c>
      <c r="K38" s="29">
        <v>120</v>
      </c>
    </row>
    <row r="39" spans="1:11" x14ac:dyDescent="0.3">
      <c r="A39" t="s">
        <v>188</v>
      </c>
      <c r="B39">
        <f t="shared" si="0"/>
        <v>31</v>
      </c>
      <c r="I39" s="29" t="s">
        <v>401</v>
      </c>
      <c r="J39" s="28" t="s">
        <v>187</v>
      </c>
      <c r="K39" s="29">
        <v>124</v>
      </c>
    </row>
    <row r="40" spans="1:11" x14ac:dyDescent="0.3">
      <c r="A40" t="s">
        <v>189</v>
      </c>
      <c r="B40">
        <f t="shared" si="0"/>
        <v>49</v>
      </c>
      <c r="I40" s="29" t="s">
        <v>402</v>
      </c>
      <c r="J40" s="28" t="s">
        <v>188</v>
      </c>
      <c r="K40" s="29">
        <v>31</v>
      </c>
    </row>
    <row r="41" spans="1:11" x14ac:dyDescent="0.3">
      <c r="A41" t="s">
        <v>190</v>
      </c>
      <c r="B41">
        <f t="shared" si="0"/>
        <v>36</v>
      </c>
      <c r="I41" s="29" t="s">
        <v>402</v>
      </c>
      <c r="J41" s="28" t="s">
        <v>189</v>
      </c>
      <c r="K41" s="29">
        <v>49</v>
      </c>
    </row>
    <row r="42" spans="1:11" x14ac:dyDescent="0.3">
      <c r="A42" t="s">
        <v>191</v>
      </c>
      <c r="B42">
        <f t="shared" si="0"/>
        <v>38</v>
      </c>
      <c r="I42" s="29" t="s">
        <v>402</v>
      </c>
      <c r="J42" s="28" t="s">
        <v>190</v>
      </c>
      <c r="K42" s="29">
        <v>36</v>
      </c>
    </row>
    <row r="43" spans="1:11" x14ac:dyDescent="0.3">
      <c r="A43" t="s">
        <v>192</v>
      </c>
      <c r="B43">
        <f t="shared" si="0"/>
        <v>32</v>
      </c>
      <c r="I43" s="29" t="s">
        <v>402</v>
      </c>
      <c r="J43" s="28" t="s">
        <v>191</v>
      </c>
      <c r="K43" s="29">
        <v>38</v>
      </c>
    </row>
    <row r="44" spans="1:11" x14ac:dyDescent="0.3">
      <c r="A44" t="s">
        <v>193</v>
      </c>
      <c r="B44">
        <f t="shared" si="0"/>
        <v>211</v>
      </c>
      <c r="I44" s="29" t="s">
        <v>402</v>
      </c>
      <c r="J44" s="28" t="s">
        <v>192</v>
      </c>
      <c r="K44" s="29">
        <v>32</v>
      </c>
    </row>
    <row r="45" spans="1:11" x14ac:dyDescent="0.3">
      <c r="A45" t="s">
        <v>194</v>
      </c>
      <c r="B45">
        <f t="shared" si="0"/>
        <v>245</v>
      </c>
      <c r="I45" s="29" t="s">
        <v>402</v>
      </c>
      <c r="J45" s="28" t="s">
        <v>193</v>
      </c>
      <c r="K45" s="29">
        <v>211</v>
      </c>
    </row>
    <row r="46" spans="1:11" x14ac:dyDescent="0.3">
      <c r="A46" t="s">
        <v>195</v>
      </c>
      <c r="B46">
        <f t="shared" si="0"/>
        <v>33</v>
      </c>
      <c r="I46" s="29" t="s">
        <v>402</v>
      </c>
      <c r="J46" s="28" t="s">
        <v>194</v>
      </c>
      <c r="K46" s="29">
        <v>245</v>
      </c>
    </row>
    <row r="47" spans="1:11" x14ac:dyDescent="0.3">
      <c r="A47" t="s">
        <v>196</v>
      </c>
      <c r="B47">
        <f t="shared" si="0"/>
        <v>54</v>
      </c>
      <c r="I47" s="29" t="s">
        <v>403</v>
      </c>
      <c r="J47" s="28" t="s">
        <v>195</v>
      </c>
      <c r="K47" s="29">
        <v>33</v>
      </c>
    </row>
    <row r="48" spans="1:11" x14ac:dyDescent="0.3">
      <c r="A48" t="s">
        <v>197</v>
      </c>
      <c r="B48">
        <f t="shared" si="0"/>
        <v>61</v>
      </c>
      <c r="I48" s="29" t="s">
        <v>403</v>
      </c>
      <c r="J48" s="28" t="s">
        <v>196</v>
      </c>
      <c r="K48" s="29">
        <v>54</v>
      </c>
    </row>
    <row r="49" spans="1:11" x14ac:dyDescent="0.3">
      <c r="A49" t="s">
        <v>198</v>
      </c>
      <c r="B49">
        <f t="shared" si="0"/>
        <v>48</v>
      </c>
      <c r="I49" s="29" t="s">
        <v>403</v>
      </c>
      <c r="J49" s="28" t="s">
        <v>197</v>
      </c>
      <c r="K49" s="29">
        <v>61</v>
      </c>
    </row>
    <row r="50" spans="1:11" x14ac:dyDescent="0.3">
      <c r="A50" t="s">
        <v>199</v>
      </c>
      <c r="B50">
        <f t="shared" si="0"/>
        <v>58</v>
      </c>
      <c r="I50" s="29" t="s">
        <v>403</v>
      </c>
      <c r="J50" s="28" t="s">
        <v>198</v>
      </c>
      <c r="K50" s="29">
        <v>48</v>
      </c>
    </row>
    <row r="51" spans="1:11" x14ac:dyDescent="0.3">
      <c r="A51" t="s">
        <v>200</v>
      </c>
      <c r="B51">
        <f t="shared" si="0"/>
        <v>75</v>
      </c>
      <c r="I51" s="29" t="s">
        <v>403</v>
      </c>
      <c r="J51" s="28" t="s">
        <v>199</v>
      </c>
      <c r="K51" s="29">
        <v>58</v>
      </c>
    </row>
    <row r="52" spans="1:11" x14ac:dyDescent="0.3">
      <c r="A52" t="s">
        <v>201</v>
      </c>
      <c r="B52">
        <f t="shared" si="0"/>
        <v>136</v>
      </c>
      <c r="I52" s="29" t="s">
        <v>403</v>
      </c>
      <c r="J52" s="28" t="s">
        <v>200</v>
      </c>
      <c r="K52" s="29">
        <v>75</v>
      </c>
    </row>
    <row r="53" spans="1:11" x14ac:dyDescent="0.3">
      <c r="A53" t="s">
        <v>202</v>
      </c>
      <c r="B53">
        <f t="shared" si="0"/>
        <v>109</v>
      </c>
      <c r="I53" s="29" t="s">
        <v>403</v>
      </c>
      <c r="J53" s="28" t="s">
        <v>201</v>
      </c>
      <c r="K53" s="29">
        <v>136</v>
      </c>
    </row>
    <row r="54" spans="1:11" x14ac:dyDescent="0.3">
      <c r="A54" t="s">
        <v>203</v>
      </c>
      <c r="B54">
        <f t="shared" si="0"/>
        <v>143</v>
      </c>
      <c r="I54" s="29" t="s">
        <v>403</v>
      </c>
      <c r="J54" s="28" t="s">
        <v>202</v>
      </c>
      <c r="K54" s="29">
        <v>109</v>
      </c>
    </row>
    <row r="55" spans="1:11" x14ac:dyDescent="0.3">
      <c r="A55" t="s">
        <v>204</v>
      </c>
      <c r="B55">
        <f t="shared" si="0"/>
        <v>77</v>
      </c>
      <c r="I55" s="29" t="s">
        <v>403</v>
      </c>
      <c r="J55" s="28" t="s">
        <v>203</v>
      </c>
      <c r="K55" s="29">
        <v>143</v>
      </c>
    </row>
    <row r="56" spans="1:11" x14ac:dyDescent="0.3">
      <c r="A56" t="s">
        <v>205</v>
      </c>
      <c r="B56">
        <f t="shared" si="0"/>
        <v>63</v>
      </c>
      <c r="I56" s="29" t="s">
        <v>403</v>
      </c>
      <c r="J56" s="28" t="s">
        <v>204</v>
      </c>
      <c r="K56" s="29">
        <v>77</v>
      </c>
    </row>
    <row r="57" spans="1:11" x14ac:dyDescent="0.3">
      <c r="A57" t="s">
        <v>206</v>
      </c>
      <c r="B57">
        <f t="shared" si="0"/>
        <v>51</v>
      </c>
      <c r="I57" s="29" t="s">
        <v>403</v>
      </c>
      <c r="J57" s="28" t="s">
        <v>205</v>
      </c>
      <c r="K57" s="29">
        <v>63</v>
      </c>
    </row>
    <row r="58" spans="1:11" x14ac:dyDescent="0.3">
      <c r="A58" t="s">
        <v>207</v>
      </c>
      <c r="B58">
        <f t="shared" si="0"/>
        <v>68</v>
      </c>
      <c r="I58" s="29" t="s">
        <v>403</v>
      </c>
      <c r="J58" s="28" t="s">
        <v>206</v>
      </c>
      <c r="K58" s="29">
        <v>51</v>
      </c>
    </row>
    <row r="59" spans="1:11" x14ac:dyDescent="0.3">
      <c r="A59" t="s">
        <v>208</v>
      </c>
      <c r="B59">
        <f t="shared" si="0"/>
        <v>93</v>
      </c>
      <c r="I59" s="29" t="s">
        <v>403</v>
      </c>
      <c r="J59" s="28" t="s">
        <v>207</v>
      </c>
      <c r="K59" s="29">
        <v>68</v>
      </c>
    </row>
    <row r="60" spans="1:11" x14ac:dyDescent="0.3">
      <c r="A60" t="s">
        <v>209</v>
      </c>
      <c r="B60">
        <f t="shared" si="0"/>
        <v>58</v>
      </c>
      <c r="I60" s="29" t="s">
        <v>403</v>
      </c>
      <c r="J60" s="28" t="s">
        <v>208</v>
      </c>
      <c r="K60" s="29">
        <v>93</v>
      </c>
    </row>
    <row r="61" spans="1:11" x14ac:dyDescent="0.3">
      <c r="A61" t="s">
        <v>210</v>
      </c>
      <c r="B61">
        <f t="shared" si="0"/>
        <v>55</v>
      </c>
      <c r="I61" s="29" t="s">
        <v>403</v>
      </c>
      <c r="J61" s="28" t="s">
        <v>209</v>
      </c>
      <c r="K61" s="29">
        <v>58</v>
      </c>
    </row>
    <row r="62" spans="1:11" x14ac:dyDescent="0.3">
      <c r="A62" t="s">
        <v>211</v>
      </c>
      <c r="B62">
        <f t="shared" si="0"/>
        <v>25</v>
      </c>
      <c r="I62" s="29" t="s">
        <v>403</v>
      </c>
      <c r="J62" s="28" t="s">
        <v>210</v>
      </c>
      <c r="K62" s="29">
        <v>55</v>
      </c>
    </row>
    <row r="63" spans="1:11" x14ac:dyDescent="0.3">
      <c r="A63" t="s">
        <v>212</v>
      </c>
      <c r="B63">
        <f t="shared" si="0"/>
        <v>31</v>
      </c>
      <c r="I63" s="29" t="s">
        <v>403</v>
      </c>
      <c r="J63" s="28" t="s">
        <v>211</v>
      </c>
      <c r="K63" s="29">
        <v>25</v>
      </c>
    </row>
    <row r="64" spans="1:11" x14ac:dyDescent="0.3">
      <c r="A64" t="s">
        <v>213</v>
      </c>
      <c r="B64">
        <f t="shared" si="0"/>
        <v>43</v>
      </c>
      <c r="I64" s="29" t="s">
        <v>403</v>
      </c>
      <c r="J64" s="28" t="s">
        <v>212</v>
      </c>
      <c r="K64" s="29">
        <v>31</v>
      </c>
    </row>
    <row r="65" spans="1:11" x14ac:dyDescent="0.3">
      <c r="A65" t="s">
        <v>214</v>
      </c>
      <c r="B65">
        <f t="shared" si="0"/>
        <v>103</v>
      </c>
      <c r="I65" s="29" t="s">
        <v>403</v>
      </c>
      <c r="J65" s="28" t="s">
        <v>213</v>
      </c>
      <c r="K65" s="29">
        <v>43</v>
      </c>
    </row>
    <row r="66" spans="1:11" x14ac:dyDescent="0.3">
      <c r="A66" t="s">
        <v>215</v>
      </c>
      <c r="B66">
        <f t="shared" si="0"/>
        <v>105</v>
      </c>
      <c r="I66" s="29" t="s">
        <v>404</v>
      </c>
      <c r="J66" s="28" t="s">
        <v>214</v>
      </c>
      <c r="K66" s="29">
        <v>103</v>
      </c>
    </row>
    <row r="67" spans="1:11" x14ac:dyDescent="0.3">
      <c r="A67" t="s">
        <v>216</v>
      </c>
      <c r="B67">
        <f t="shared" si="0"/>
        <v>56</v>
      </c>
      <c r="I67" s="29" t="s">
        <v>404</v>
      </c>
      <c r="J67" s="28" t="s">
        <v>215</v>
      </c>
      <c r="K67" s="29">
        <v>105</v>
      </c>
    </row>
    <row r="68" spans="1:11" x14ac:dyDescent="0.3">
      <c r="A68" t="s">
        <v>217</v>
      </c>
      <c r="B68">
        <f t="shared" si="0"/>
        <v>66</v>
      </c>
      <c r="I68" s="29" t="s">
        <v>404</v>
      </c>
      <c r="J68" s="28" t="s">
        <v>216</v>
      </c>
      <c r="K68" s="29">
        <v>56</v>
      </c>
    </row>
    <row r="69" spans="1:11" x14ac:dyDescent="0.3">
      <c r="A69" t="s">
        <v>218</v>
      </c>
      <c r="B69">
        <f t="shared" ref="B69:B132" si="1">_xlfn.XLOOKUP(A69,$J$4:$J$247,$K$4:$K$247)</f>
        <v>27</v>
      </c>
      <c r="I69" s="29" t="s">
        <v>404</v>
      </c>
      <c r="J69" s="28" t="s">
        <v>217</v>
      </c>
      <c r="K69" s="29">
        <v>66</v>
      </c>
    </row>
    <row r="70" spans="1:11" x14ac:dyDescent="0.3">
      <c r="A70" t="s">
        <v>219</v>
      </c>
      <c r="B70">
        <f t="shared" si="1"/>
        <v>27</v>
      </c>
      <c r="I70" s="29" t="s">
        <v>404</v>
      </c>
      <c r="J70" s="28" t="s">
        <v>218</v>
      </c>
      <c r="K70" s="29">
        <v>27</v>
      </c>
    </row>
    <row r="71" spans="1:11" x14ac:dyDescent="0.3">
      <c r="A71" t="s">
        <v>220</v>
      </c>
      <c r="B71">
        <f t="shared" si="1"/>
        <v>83</v>
      </c>
      <c r="I71" s="29" t="s">
        <v>404</v>
      </c>
      <c r="J71" s="28" t="s">
        <v>219</v>
      </c>
      <c r="K71" s="29">
        <v>27</v>
      </c>
    </row>
    <row r="72" spans="1:11" x14ac:dyDescent="0.3">
      <c r="A72" t="s">
        <v>221</v>
      </c>
      <c r="B72">
        <f t="shared" si="1"/>
        <v>30</v>
      </c>
      <c r="I72" s="29" t="s">
        <v>404</v>
      </c>
      <c r="J72" s="28" t="s">
        <v>220</v>
      </c>
      <c r="K72" s="29">
        <v>83</v>
      </c>
    </row>
    <row r="73" spans="1:11" x14ac:dyDescent="0.3">
      <c r="A73" t="s">
        <v>222</v>
      </c>
      <c r="B73">
        <f t="shared" si="1"/>
        <v>27</v>
      </c>
      <c r="I73" s="29" t="s">
        <v>405</v>
      </c>
      <c r="J73" s="28" t="s">
        <v>221</v>
      </c>
      <c r="K73" s="29">
        <v>30</v>
      </c>
    </row>
    <row r="74" spans="1:11" x14ac:dyDescent="0.3">
      <c r="A74" t="s">
        <v>223</v>
      </c>
      <c r="B74">
        <f t="shared" si="1"/>
        <v>22</v>
      </c>
      <c r="I74" s="29" t="s">
        <v>405</v>
      </c>
      <c r="J74" s="28" t="s">
        <v>222</v>
      </c>
      <c r="K74" s="29">
        <v>27</v>
      </c>
    </row>
    <row r="75" spans="1:11" x14ac:dyDescent="0.3">
      <c r="A75" t="s">
        <v>224</v>
      </c>
      <c r="B75">
        <f t="shared" si="1"/>
        <v>38</v>
      </c>
      <c r="I75" s="29" t="s">
        <v>405</v>
      </c>
      <c r="J75" s="28" t="s">
        <v>223</v>
      </c>
      <c r="K75" s="29">
        <v>22</v>
      </c>
    </row>
    <row r="76" spans="1:11" x14ac:dyDescent="0.3">
      <c r="A76" t="s">
        <v>225</v>
      </c>
      <c r="B76">
        <f t="shared" si="1"/>
        <v>36</v>
      </c>
      <c r="I76" s="29" t="s">
        <v>406</v>
      </c>
      <c r="J76" s="28" t="s">
        <v>224</v>
      </c>
      <c r="K76" s="29">
        <v>38</v>
      </c>
    </row>
    <row r="77" spans="1:11" x14ac:dyDescent="0.3">
      <c r="A77" t="s">
        <v>226</v>
      </c>
      <c r="B77">
        <f t="shared" si="1"/>
        <v>43</v>
      </c>
      <c r="I77" s="29" t="s">
        <v>406</v>
      </c>
      <c r="J77" s="28" t="s">
        <v>225</v>
      </c>
      <c r="K77" s="29">
        <v>36</v>
      </c>
    </row>
    <row r="78" spans="1:11" x14ac:dyDescent="0.3">
      <c r="A78" t="s">
        <v>227</v>
      </c>
      <c r="B78">
        <f t="shared" si="1"/>
        <v>27</v>
      </c>
      <c r="I78" s="29" t="s">
        <v>406</v>
      </c>
      <c r="J78" s="28" t="s">
        <v>226</v>
      </c>
      <c r="K78" s="29">
        <v>43</v>
      </c>
    </row>
    <row r="79" spans="1:11" x14ac:dyDescent="0.3">
      <c r="A79" t="s">
        <v>228</v>
      </c>
      <c r="B79">
        <f t="shared" si="1"/>
        <v>31</v>
      </c>
      <c r="I79" s="29" t="s">
        <v>406</v>
      </c>
      <c r="J79" s="28" t="s">
        <v>227</v>
      </c>
      <c r="K79" s="29">
        <v>27</v>
      </c>
    </row>
    <row r="80" spans="1:11" x14ac:dyDescent="0.3">
      <c r="A80" t="s">
        <v>229</v>
      </c>
      <c r="B80">
        <f t="shared" si="1"/>
        <v>28</v>
      </c>
      <c r="I80" s="29" t="s">
        <v>406</v>
      </c>
      <c r="J80" s="28" t="s">
        <v>228</v>
      </c>
      <c r="K80" s="29">
        <v>31</v>
      </c>
    </row>
    <row r="81" spans="1:11" x14ac:dyDescent="0.3">
      <c r="A81" t="s">
        <v>230</v>
      </c>
      <c r="B81">
        <f t="shared" si="1"/>
        <v>81</v>
      </c>
      <c r="I81" s="29" t="s">
        <v>406</v>
      </c>
      <c r="J81" s="28" t="s">
        <v>229</v>
      </c>
      <c r="K81" s="29">
        <v>28</v>
      </c>
    </row>
    <row r="82" spans="1:11" x14ac:dyDescent="0.3">
      <c r="A82" t="s">
        <v>231</v>
      </c>
      <c r="B82">
        <f t="shared" si="1"/>
        <v>40</v>
      </c>
      <c r="I82" s="29" t="s">
        <v>406</v>
      </c>
      <c r="J82" s="28" t="s">
        <v>230</v>
      </c>
      <c r="K82" s="29">
        <v>81</v>
      </c>
    </row>
    <row r="83" spans="1:11" x14ac:dyDescent="0.3">
      <c r="A83" t="s">
        <v>232</v>
      </c>
      <c r="B83">
        <f t="shared" si="1"/>
        <v>32</v>
      </c>
      <c r="I83" s="29" t="s">
        <v>406</v>
      </c>
      <c r="J83" s="28" t="s">
        <v>231</v>
      </c>
      <c r="K83" s="29">
        <v>40</v>
      </c>
    </row>
    <row r="84" spans="1:11" x14ac:dyDescent="0.3">
      <c r="A84" t="s">
        <v>233</v>
      </c>
      <c r="B84">
        <f t="shared" si="1"/>
        <v>52</v>
      </c>
      <c r="I84" s="29" t="s">
        <v>406</v>
      </c>
      <c r="J84" s="28" t="s">
        <v>232</v>
      </c>
      <c r="K84" s="29">
        <v>32</v>
      </c>
    </row>
    <row r="85" spans="1:11" x14ac:dyDescent="0.3">
      <c r="A85" t="s">
        <v>234</v>
      </c>
      <c r="B85">
        <f t="shared" si="1"/>
        <v>36</v>
      </c>
      <c r="I85" s="29" t="s">
        <v>406</v>
      </c>
      <c r="J85" s="28" t="s">
        <v>233</v>
      </c>
      <c r="K85" s="29">
        <v>52</v>
      </c>
    </row>
    <row r="86" spans="1:11" x14ac:dyDescent="0.3">
      <c r="A86" t="s">
        <v>235</v>
      </c>
      <c r="B86">
        <f t="shared" si="1"/>
        <v>136</v>
      </c>
      <c r="I86" s="29" t="s">
        <v>406</v>
      </c>
      <c r="J86" s="28" t="s">
        <v>234</v>
      </c>
      <c r="K86" s="29">
        <v>36</v>
      </c>
    </row>
    <row r="87" spans="1:11" x14ac:dyDescent="0.3">
      <c r="A87" t="s">
        <v>236</v>
      </c>
      <c r="B87">
        <f t="shared" si="1"/>
        <v>40</v>
      </c>
      <c r="I87" s="29" t="s">
        <v>406</v>
      </c>
      <c r="J87" s="28" t="s">
        <v>235</v>
      </c>
      <c r="K87" s="29">
        <v>136</v>
      </c>
    </row>
    <row r="88" spans="1:11" x14ac:dyDescent="0.3">
      <c r="A88" t="s">
        <v>237</v>
      </c>
      <c r="B88">
        <f t="shared" si="1"/>
        <v>87</v>
      </c>
      <c r="I88" s="29" t="s">
        <v>406</v>
      </c>
      <c r="J88" s="28" t="s">
        <v>236</v>
      </c>
      <c r="K88" s="29">
        <v>40</v>
      </c>
    </row>
    <row r="89" spans="1:11" x14ac:dyDescent="0.3">
      <c r="A89" t="s">
        <v>238</v>
      </c>
      <c r="B89">
        <f t="shared" si="1"/>
        <v>139</v>
      </c>
      <c r="I89" s="29" t="s">
        <v>406</v>
      </c>
      <c r="J89" s="28" t="s">
        <v>237</v>
      </c>
      <c r="K89" s="29">
        <v>87</v>
      </c>
    </row>
    <row r="90" spans="1:11" x14ac:dyDescent="0.3">
      <c r="A90" t="s">
        <v>239</v>
      </c>
      <c r="B90">
        <f t="shared" si="1"/>
        <v>34</v>
      </c>
      <c r="I90" s="29" t="s">
        <v>406</v>
      </c>
      <c r="J90" s="28" t="s">
        <v>238</v>
      </c>
      <c r="K90" s="29">
        <v>139</v>
      </c>
    </row>
    <row r="91" spans="1:11" x14ac:dyDescent="0.3">
      <c r="A91" t="s">
        <v>240</v>
      </c>
      <c r="B91">
        <f t="shared" si="1"/>
        <v>21</v>
      </c>
      <c r="I91" s="29" t="s">
        <v>406</v>
      </c>
      <c r="J91" s="28" t="s">
        <v>239</v>
      </c>
      <c r="K91" s="29">
        <v>34</v>
      </c>
    </row>
    <row r="92" spans="1:11" x14ac:dyDescent="0.3">
      <c r="A92" t="s">
        <v>241</v>
      </c>
      <c r="B92">
        <f t="shared" si="1"/>
        <v>21</v>
      </c>
      <c r="I92" s="29" t="s">
        <v>398</v>
      </c>
      <c r="J92" s="28" t="s">
        <v>240</v>
      </c>
      <c r="K92" s="29">
        <v>21</v>
      </c>
    </row>
    <row r="93" spans="1:11" x14ac:dyDescent="0.3">
      <c r="A93" t="s">
        <v>242</v>
      </c>
      <c r="B93">
        <f t="shared" si="1"/>
        <v>68</v>
      </c>
      <c r="I93" s="29" t="s">
        <v>398</v>
      </c>
      <c r="J93" s="28" t="s">
        <v>241</v>
      </c>
      <c r="K93" s="29">
        <v>21</v>
      </c>
    </row>
    <row r="94" spans="1:11" x14ac:dyDescent="0.3">
      <c r="A94" t="s">
        <v>243</v>
      </c>
      <c r="B94">
        <f t="shared" si="1"/>
        <v>28</v>
      </c>
      <c r="I94" s="29" t="s">
        <v>400</v>
      </c>
      <c r="J94" s="28" t="s">
        <v>242</v>
      </c>
      <c r="K94" s="29">
        <v>68</v>
      </c>
    </row>
    <row r="95" spans="1:11" x14ac:dyDescent="0.3">
      <c r="A95" t="s">
        <v>244</v>
      </c>
      <c r="B95">
        <f t="shared" si="1"/>
        <v>114</v>
      </c>
      <c r="I95" s="29" t="s">
        <v>400</v>
      </c>
      <c r="J95" s="28" t="s">
        <v>243</v>
      </c>
      <c r="K95" s="29">
        <v>28</v>
      </c>
    </row>
    <row r="96" spans="1:11" x14ac:dyDescent="0.3">
      <c r="A96" t="s">
        <v>245</v>
      </c>
      <c r="B96">
        <f t="shared" si="1"/>
        <v>62</v>
      </c>
      <c r="I96" s="29" t="s">
        <v>400</v>
      </c>
      <c r="J96" s="28" t="s">
        <v>244</v>
      </c>
      <c r="K96" s="29">
        <v>114</v>
      </c>
    </row>
    <row r="97" spans="1:11" x14ac:dyDescent="0.3">
      <c r="A97" t="s">
        <v>246</v>
      </c>
      <c r="B97">
        <f t="shared" si="1"/>
        <v>29</v>
      </c>
      <c r="I97" s="29" t="s">
        <v>400</v>
      </c>
      <c r="J97" s="28" t="s">
        <v>245</v>
      </c>
      <c r="K97" s="29">
        <v>62</v>
      </c>
    </row>
    <row r="98" spans="1:11" x14ac:dyDescent="0.3">
      <c r="A98" t="s">
        <v>247</v>
      </c>
      <c r="B98">
        <f t="shared" si="1"/>
        <v>29</v>
      </c>
      <c r="I98" s="29" t="s">
        <v>400</v>
      </c>
      <c r="J98" s="28" t="s">
        <v>246</v>
      </c>
      <c r="K98" s="29">
        <v>29</v>
      </c>
    </row>
    <row r="99" spans="1:11" x14ac:dyDescent="0.3">
      <c r="A99" t="s">
        <v>248</v>
      </c>
      <c r="B99">
        <f t="shared" si="1"/>
        <v>33</v>
      </c>
      <c r="I99" s="29" t="s">
        <v>400</v>
      </c>
      <c r="J99" s="28" t="s">
        <v>247</v>
      </c>
      <c r="K99" s="29">
        <v>29</v>
      </c>
    </row>
    <row r="100" spans="1:11" x14ac:dyDescent="0.3">
      <c r="A100" t="s">
        <v>249</v>
      </c>
      <c r="B100">
        <f t="shared" si="1"/>
        <v>33</v>
      </c>
      <c r="I100" s="29" t="s">
        <v>400</v>
      </c>
      <c r="J100" s="28" t="s">
        <v>248</v>
      </c>
      <c r="K100" s="29">
        <v>33</v>
      </c>
    </row>
    <row r="101" spans="1:11" x14ac:dyDescent="0.3">
      <c r="A101" t="s">
        <v>250</v>
      </c>
      <c r="B101">
        <f t="shared" si="1"/>
        <v>288</v>
      </c>
      <c r="I101" s="29" t="s">
        <v>401</v>
      </c>
      <c r="J101" s="28" t="s">
        <v>249</v>
      </c>
      <c r="K101" s="29">
        <v>33</v>
      </c>
    </row>
    <row r="102" spans="1:11" x14ac:dyDescent="0.3">
      <c r="A102" t="s">
        <v>251</v>
      </c>
      <c r="B102">
        <f t="shared" si="1"/>
        <v>80</v>
      </c>
      <c r="I102" s="29" t="s">
        <v>401</v>
      </c>
      <c r="J102" s="28" t="s">
        <v>250</v>
      </c>
      <c r="K102" s="29">
        <v>288</v>
      </c>
    </row>
    <row r="103" spans="1:11" x14ac:dyDescent="0.3">
      <c r="A103" t="s">
        <v>252</v>
      </c>
      <c r="B103">
        <f t="shared" si="1"/>
        <v>60</v>
      </c>
      <c r="I103" s="29" t="s">
        <v>401</v>
      </c>
      <c r="J103" s="28" t="s">
        <v>251</v>
      </c>
      <c r="K103" s="29">
        <v>80</v>
      </c>
    </row>
    <row r="104" spans="1:11" x14ac:dyDescent="0.3">
      <c r="A104" t="s">
        <v>253</v>
      </c>
      <c r="B104">
        <f t="shared" si="1"/>
        <v>79</v>
      </c>
      <c r="I104" s="29" t="s">
        <v>401</v>
      </c>
      <c r="J104" s="28" t="s">
        <v>252</v>
      </c>
      <c r="K104" s="29">
        <v>60</v>
      </c>
    </row>
    <row r="105" spans="1:11" x14ac:dyDescent="0.3">
      <c r="A105" t="s">
        <v>254</v>
      </c>
      <c r="B105">
        <f t="shared" si="1"/>
        <v>47</v>
      </c>
      <c r="I105" s="29" t="s">
        <v>401</v>
      </c>
      <c r="J105" s="28" t="s">
        <v>253</v>
      </c>
      <c r="K105" s="29">
        <v>79</v>
      </c>
    </row>
    <row r="106" spans="1:11" x14ac:dyDescent="0.3">
      <c r="A106" t="s">
        <v>255</v>
      </c>
      <c r="B106">
        <f t="shared" si="1"/>
        <v>100</v>
      </c>
      <c r="I106" s="29" t="s">
        <v>401</v>
      </c>
      <c r="J106" s="28" t="s">
        <v>254</v>
      </c>
      <c r="K106" s="29">
        <v>47</v>
      </c>
    </row>
    <row r="107" spans="1:11" x14ac:dyDescent="0.3">
      <c r="A107" t="s">
        <v>256</v>
      </c>
      <c r="B107">
        <f t="shared" si="1"/>
        <v>44</v>
      </c>
      <c r="I107" s="29" t="s">
        <v>401</v>
      </c>
      <c r="J107" s="28" t="s">
        <v>255</v>
      </c>
      <c r="K107" s="29">
        <v>100</v>
      </c>
    </row>
    <row r="108" spans="1:11" x14ac:dyDescent="0.3">
      <c r="A108" t="s">
        <v>257</v>
      </c>
      <c r="B108">
        <f t="shared" si="1"/>
        <v>58</v>
      </c>
      <c r="I108" s="29" t="s">
        <v>401</v>
      </c>
      <c r="J108" s="28" t="s">
        <v>256</v>
      </c>
      <c r="K108" s="29">
        <v>44</v>
      </c>
    </row>
    <row r="109" spans="1:11" x14ac:dyDescent="0.3">
      <c r="A109" t="s">
        <v>258</v>
      </c>
      <c r="B109">
        <f t="shared" si="1"/>
        <v>86</v>
      </c>
      <c r="I109" s="29" t="s">
        <v>402</v>
      </c>
      <c r="J109" s="28" t="s">
        <v>257</v>
      </c>
      <c r="K109" s="29">
        <v>58</v>
      </c>
    </row>
    <row r="110" spans="1:11" x14ac:dyDescent="0.3">
      <c r="A110" t="s">
        <v>259</v>
      </c>
      <c r="B110">
        <f t="shared" si="1"/>
        <v>75</v>
      </c>
      <c r="I110" s="29" t="s">
        <v>402</v>
      </c>
      <c r="J110" s="28" t="s">
        <v>258</v>
      </c>
      <c r="K110" s="29">
        <v>86</v>
      </c>
    </row>
    <row r="111" spans="1:11" x14ac:dyDescent="0.3">
      <c r="A111" t="s">
        <v>260</v>
      </c>
      <c r="B111">
        <f t="shared" si="1"/>
        <v>107</v>
      </c>
      <c r="I111" s="29" t="s">
        <v>402</v>
      </c>
      <c r="J111" s="28" t="s">
        <v>259</v>
      </c>
      <c r="K111" s="29">
        <v>75</v>
      </c>
    </row>
    <row r="112" spans="1:11" x14ac:dyDescent="0.3">
      <c r="A112" t="s">
        <v>261</v>
      </c>
      <c r="B112">
        <f t="shared" si="1"/>
        <v>80</v>
      </c>
      <c r="I112" s="29" t="s">
        <v>402</v>
      </c>
      <c r="J112" s="28" t="s">
        <v>260</v>
      </c>
      <c r="K112" s="29">
        <v>107</v>
      </c>
    </row>
    <row r="113" spans="1:11" x14ac:dyDescent="0.3">
      <c r="A113" t="s">
        <v>262</v>
      </c>
      <c r="B113">
        <f t="shared" si="1"/>
        <v>34</v>
      </c>
      <c r="I113" s="29" t="s">
        <v>402</v>
      </c>
      <c r="J113" s="28" t="s">
        <v>261</v>
      </c>
      <c r="K113" s="29">
        <v>80</v>
      </c>
    </row>
    <row r="114" spans="1:11" x14ac:dyDescent="0.3">
      <c r="A114" t="s">
        <v>263</v>
      </c>
      <c r="B114">
        <f t="shared" si="1"/>
        <v>232</v>
      </c>
      <c r="I114" s="29" t="s">
        <v>402</v>
      </c>
      <c r="J114" s="28" t="s">
        <v>262</v>
      </c>
      <c r="K114" s="29">
        <v>34</v>
      </c>
    </row>
    <row r="115" spans="1:11" x14ac:dyDescent="0.3">
      <c r="A115" t="s">
        <v>264</v>
      </c>
      <c r="B115">
        <f t="shared" si="1"/>
        <v>58</v>
      </c>
      <c r="I115" s="29" t="s">
        <v>402</v>
      </c>
      <c r="J115" s="28" t="s">
        <v>263</v>
      </c>
      <c r="K115" s="29">
        <v>232</v>
      </c>
    </row>
    <row r="116" spans="1:11" x14ac:dyDescent="0.3">
      <c r="A116" t="s">
        <v>265</v>
      </c>
      <c r="B116">
        <f t="shared" si="1"/>
        <v>43</v>
      </c>
      <c r="I116" s="29" t="s">
        <v>402</v>
      </c>
      <c r="J116" s="28" t="s">
        <v>264</v>
      </c>
      <c r="K116" s="29">
        <v>58</v>
      </c>
    </row>
    <row r="117" spans="1:11" x14ac:dyDescent="0.3">
      <c r="A117" t="s">
        <v>266</v>
      </c>
      <c r="B117">
        <f t="shared" si="1"/>
        <v>64</v>
      </c>
      <c r="I117" s="29" t="s">
        <v>402</v>
      </c>
      <c r="J117" s="28" t="s">
        <v>265</v>
      </c>
      <c r="K117" s="29">
        <v>43</v>
      </c>
    </row>
    <row r="118" spans="1:11" x14ac:dyDescent="0.3">
      <c r="A118" t="s">
        <v>267</v>
      </c>
      <c r="B118">
        <f t="shared" si="1"/>
        <v>51</v>
      </c>
      <c r="I118" s="29" t="s">
        <v>402</v>
      </c>
      <c r="J118" s="28" t="s">
        <v>266</v>
      </c>
      <c r="K118" s="29">
        <v>64</v>
      </c>
    </row>
    <row r="119" spans="1:11" x14ac:dyDescent="0.3">
      <c r="A119" t="s">
        <v>268</v>
      </c>
      <c r="B119">
        <f t="shared" si="1"/>
        <v>44</v>
      </c>
      <c r="I119" s="29" t="s">
        <v>403</v>
      </c>
      <c r="J119" s="28" t="s">
        <v>267</v>
      </c>
      <c r="K119" s="29">
        <v>51</v>
      </c>
    </row>
    <row r="120" spans="1:11" x14ac:dyDescent="0.3">
      <c r="A120" t="s">
        <v>269</v>
      </c>
      <c r="B120">
        <f t="shared" si="1"/>
        <v>58</v>
      </c>
      <c r="I120" s="29" t="s">
        <v>403</v>
      </c>
      <c r="J120" s="28" t="s">
        <v>268</v>
      </c>
      <c r="K120" s="29">
        <v>44</v>
      </c>
    </row>
    <row r="121" spans="1:11" x14ac:dyDescent="0.3">
      <c r="A121" t="s">
        <v>270</v>
      </c>
      <c r="B121">
        <f t="shared" si="1"/>
        <v>20</v>
      </c>
      <c r="I121" s="29" t="s">
        <v>403</v>
      </c>
      <c r="J121" s="28" t="s">
        <v>269</v>
      </c>
      <c r="K121" s="29">
        <v>58</v>
      </c>
    </row>
    <row r="122" spans="1:11" x14ac:dyDescent="0.3">
      <c r="A122" t="s">
        <v>271</v>
      </c>
      <c r="B122">
        <f t="shared" si="1"/>
        <v>25</v>
      </c>
      <c r="I122" s="29" t="s">
        <v>403</v>
      </c>
      <c r="J122" s="28" t="s">
        <v>270</v>
      </c>
      <c r="K122" s="29">
        <v>20</v>
      </c>
    </row>
    <row r="123" spans="1:11" x14ac:dyDescent="0.3">
      <c r="A123" t="s">
        <v>272</v>
      </c>
      <c r="B123">
        <f t="shared" si="1"/>
        <v>306</v>
      </c>
      <c r="I123" s="29" t="s">
        <v>403</v>
      </c>
      <c r="J123" s="28" t="s">
        <v>271</v>
      </c>
      <c r="K123" s="29">
        <v>25</v>
      </c>
    </row>
    <row r="124" spans="1:11" x14ac:dyDescent="0.3">
      <c r="A124" t="s">
        <v>273</v>
      </c>
      <c r="B124">
        <f t="shared" si="1"/>
        <v>133</v>
      </c>
      <c r="I124" s="29" t="s">
        <v>403</v>
      </c>
      <c r="J124" s="28" t="s">
        <v>272</v>
      </c>
      <c r="K124" s="29">
        <v>306</v>
      </c>
    </row>
    <row r="125" spans="1:11" x14ac:dyDescent="0.3">
      <c r="A125" t="s">
        <v>274</v>
      </c>
      <c r="B125">
        <f t="shared" si="1"/>
        <v>40</v>
      </c>
      <c r="I125" s="29" t="s">
        <v>403</v>
      </c>
      <c r="J125" s="28" t="s">
        <v>273</v>
      </c>
      <c r="K125" s="29">
        <v>133</v>
      </c>
    </row>
    <row r="126" spans="1:11" x14ac:dyDescent="0.3">
      <c r="A126" t="s">
        <v>275</v>
      </c>
      <c r="B126">
        <f t="shared" si="1"/>
        <v>39</v>
      </c>
      <c r="I126" s="29" t="s">
        <v>403</v>
      </c>
      <c r="J126" s="28" t="s">
        <v>274</v>
      </c>
      <c r="K126" s="29">
        <v>40</v>
      </c>
    </row>
    <row r="127" spans="1:11" x14ac:dyDescent="0.3">
      <c r="A127" t="s">
        <v>276</v>
      </c>
      <c r="B127">
        <f t="shared" si="1"/>
        <v>30</v>
      </c>
      <c r="I127" s="29" t="s">
        <v>403</v>
      </c>
      <c r="J127" s="28" t="s">
        <v>275</v>
      </c>
      <c r="K127" s="29">
        <v>39</v>
      </c>
    </row>
    <row r="128" spans="1:11" x14ac:dyDescent="0.3">
      <c r="A128" t="s">
        <v>277</v>
      </c>
      <c r="B128">
        <f t="shared" si="1"/>
        <v>44</v>
      </c>
      <c r="I128" s="29" t="s">
        <v>403</v>
      </c>
      <c r="J128" s="28" t="s">
        <v>276</v>
      </c>
      <c r="K128" s="29">
        <v>30</v>
      </c>
    </row>
    <row r="129" spans="1:11" x14ac:dyDescent="0.3">
      <c r="A129" t="s">
        <v>278</v>
      </c>
      <c r="B129">
        <f t="shared" si="1"/>
        <v>103</v>
      </c>
      <c r="I129" s="29" t="s">
        <v>403</v>
      </c>
      <c r="J129" s="28" t="s">
        <v>277</v>
      </c>
      <c r="K129" s="29">
        <v>44</v>
      </c>
    </row>
    <row r="130" spans="1:11" x14ac:dyDescent="0.3">
      <c r="A130" t="s">
        <v>279</v>
      </c>
      <c r="B130">
        <f t="shared" si="1"/>
        <v>90</v>
      </c>
      <c r="I130" s="29" t="s">
        <v>403</v>
      </c>
      <c r="J130" s="28" t="s">
        <v>278</v>
      </c>
      <c r="K130" s="29">
        <v>103</v>
      </c>
    </row>
    <row r="131" spans="1:11" x14ac:dyDescent="0.3">
      <c r="A131" t="s">
        <v>280</v>
      </c>
      <c r="B131">
        <f t="shared" si="1"/>
        <v>73</v>
      </c>
      <c r="I131" s="29" t="s">
        <v>403</v>
      </c>
      <c r="J131" s="28" t="s">
        <v>279</v>
      </c>
      <c r="K131" s="29">
        <v>90</v>
      </c>
    </row>
    <row r="132" spans="1:11" x14ac:dyDescent="0.3">
      <c r="A132" t="s">
        <v>281</v>
      </c>
      <c r="B132">
        <f t="shared" si="1"/>
        <v>34</v>
      </c>
      <c r="I132" s="29" t="s">
        <v>403</v>
      </c>
      <c r="J132" s="28" t="s">
        <v>280</v>
      </c>
      <c r="K132" s="29">
        <v>73</v>
      </c>
    </row>
    <row r="133" spans="1:11" x14ac:dyDescent="0.3">
      <c r="A133" t="s">
        <v>282</v>
      </c>
      <c r="B133">
        <f t="shared" ref="B133:B196" si="2">_xlfn.XLOOKUP(A133,$J$4:$J$247,$K$4:$K$247)</f>
        <v>35</v>
      </c>
      <c r="I133" s="29" t="s">
        <v>403</v>
      </c>
      <c r="J133" s="28" t="s">
        <v>281</v>
      </c>
      <c r="K133" s="29">
        <v>34</v>
      </c>
    </row>
    <row r="134" spans="1:11" x14ac:dyDescent="0.3">
      <c r="A134" t="s">
        <v>283</v>
      </c>
      <c r="B134">
        <f t="shared" si="2"/>
        <v>137</v>
      </c>
      <c r="I134" s="29" t="s">
        <v>403</v>
      </c>
      <c r="J134" s="28" t="s">
        <v>282</v>
      </c>
      <c r="K134" s="29">
        <v>35</v>
      </c>
    </row>
    <row r="135" spans="1:11" x14ac:dyDescent="0.3">
      <c r="A135" t="s">
        <v>284</v>
      </c>
      <c r="B135">
        <f t="shared" si="2"/>
        <v>42</v>
      </c>
      <c r="I135" s="29" t="s">
        <v>403</v>
      </c>
      <c r="J135" s="28" t="s">
        <v>283</v>
      </c>
      <c r="K135" s="29">
        <v>137</v>
      </c>
    </row>
    <row r="136" spans="1:11" x14ac:dyDescent="0.3">
      <c r="A136" t="s">
        <v>285</v>
      </c>
      <c r="B136">
        <f t="shared" si="2"/>
        <v>77</v>
      </c>
      <c r="I136" s="29" t="s">
        <v>404</v>
      </c>
      <c r="J136" s="28" t="s">
        <v>284</v>
      </c>
      <c r="K136" s="29">
        <v>42</v>
      </c>
    </row>
    <row r="137" spans="1:11" x14ac:dyDescent="0.3">
      <c r="A137" t="s">
        <v>286</v>
      </c>
      <c r="B137">
        <f t="shared" si="2"/>
        <v>65</v>
      </c>
      <c r="I137" s="29" t="s">
        <v>404</v>
      </c>
      <c r="J137" s="28" t="s">
        <v>285</v>
      </c>
      <c r="K137" s="29">
        <v>77</v>
      </c>
    </row>
    <row r="138" spans="1:11" x14ac:dyDescent="0.3">
      <c r="A138" t="s">
        <v>287</v>
      </c>
      <c r="B138">
        <f t="shared" si="2"/>
        <v>50</v>
      </c>
      <c r="I138" s="29" t="s">
        <v>404</v>
      </c>
      <c r="J138" s="28" t="s">
        <v>286</v>
      </c>
      <c r="K138" s="29">
        <v>65</v>
      </c>
    </row>
    <row r="139" spans="1:11" x14ac:dyDescent="0.3">
      <c r="A139" t="s">
        <v>288</v>
      </c>
      <c r="B139">
        <f t="shared" si="2"/>
        <v>43</v>
      </c>
      <c r="I139" s="29" t="s">
        <v>404</v>
      </c>
      <c r="J139" s="28" t="s">
        <v>287</v>
      </c>
      <c r="K139" s="29">
        <v>50</v>
      </c>
    </row>
    <row r="140" spans="1:11" x14ac:dyDescent="0.3">
      <c r="A140" t="s">
        <v>289</v>
      </c>
      <c r="B140">
        <f t="shared" si="2"/>
        <v>42</v>
      </c>
      <c r="I140" s="29" t="s">
        <v>404</v>
      </c>
      <c r="J140" s="28" t="s">
        <v>288</v>
      </c>
      <c r="K140" s="29">
        <v>43</v>
      </c>
    </row>
    <row r="141" spans="1:11" x14ac:dyDescent="0.3">
      <c r="A141" t="s">
        <v>290</v>
      </c>
      <c r="B141">
        <f t="shared" si="2"/>
        <v>30</v>
      </c>
      <c r="I141" s="29" t="s">
        <v>404</v>
      </c>
      <c r="J141" s="28" t="s">
        <v>289</v>
      </c>
      <c r="K141" s="29">
        <v>42</v>
      </c>
    </row>
    <row r="142" spans="1:11" x14ac:dyDescent="0.3">
      <c r="A142" t="s">
        <v>291</v>
      </c>
      <c r="B142">
        <f t="shared" si="2"/>
        <v>58</v>
      </c>
      <c r="I142" s="29" t="s">
        <v>404</v>
      </c>
      <c r="J142" s="28" t="s">
        <v>290</v>
      </c>
      <c r="K142" s="29">
        <v>30</v>
      </c>
    </row>
    <row r="143" spans="1:11" x14ac:dyDescent="0.3">
      <c r="A143" t="s">
        <v>292</v>
      </c>
      <c r="B143">
        <f t="shared" si="2"/>
        <v>30</v>
      </c>
      <c r="I143" s="29" t="s">
        <v>406</v>
      </c>
      <c r="J143" s="28" t="s">
        <v>291</v>
      </c>
      <c r="K143" s="29">
        <v>58</v>
      </c>
    </row>
    <row r="144" spans="1:11" x14ac:dyDescent="0.3">
      <c r="A144" t="s">
        <v>293</v>
      </c>
      <c r="B144">
        <f t="shared" si="2"/>
        <v>77</v>
      </c>
      <c r="I144" s="29" t="s">
        <v>406</v>
      </c>
      <c r="J144" s="28" t="s">
        <v>292</v>
      </c>
      <c r="K144" s="29">
        <v>30</v>
      </c>
    </row>
    <row r="145" spans="1:11" x14ac:dyDescent="0.3">
      <c r="A145" t="s">
        <v>294</v>
      </c>
      <c r="B145">
        <f t="shared" si="2"/>
        <v>20</v>
      </c>
      <c r="I145" s="29" t="s">
        <v>406</v>
      </c>
      <c r="J145" s="28" t="s">
        <v>293</v>
      </c>
      <c r="K145" s="29">
        <v>77</v>
      </c>
    </row>
    <row r="146" spans="1:11" x14ac:dyDescent="0.3">
      <c r="A146" t="s">
        <v>295</v>
      </c>
      <c r="B146">
        <f t="shared" si="2"/>
        <v>23</v>
      </c>
      <c r="I146" s="29" t="s">
        <v>406</v>
      </c>
      <c r="J146" s="28" t="s">
        <v>294</v>
      </c>
      <c r="K146" s="29">
        <v>20</v>
      </c>
    </row>
    <row r="147" spans="1:11" x14ac:dyDescent="0.3">
      <c r="A147" t="s">
        <v>296</v>
      </c>
      <c r="B147">
        <f t="shared" si="2"/>
        <v>30</v>
      </c>
      <c r="I147" s="29" t="s">
        <v>398</v>
      </c>
      <c r="J147" s="28" t="s">
        <v>295</v>
      </c>
      <c r="K147" s="29">
        <v>23</v>
      </c>
    </row>
    <row r="148" spans="1:11" x14ac:dyDescent="0.3">
      <c r="A148" t="s">
        <v>297</v>
      </c>
      <c r="B148">
        <f t="shared" si="2"/>
        <v>32</v>
      </c>
      <c r="I148" s="29" t="s">
        <v>398</v>
      </c>
      <c r="J148" s="28" t="s">
        <v>296</v>
      </c>
      <c r="K148" s="29">
        <v>30</v>
      </c>
    </row>
    <row r="149" spans="1:11" x14ac:dyDescent="0.3">
      <c r="A149" t="s">
        <v>298</v>
      </c>
      <c r="B149">
        <f t="shared" si="2"/>
        <v>31</v>
      </c>
      <c r="I149" s="29" t="s">
        <v>398</v>
      </c>
      <c r="J149" s="28" t="s">
        <v>297</v>
      </c>
      <c r="K149" s="29">
        <v>32</v>
      </c>
    </row>
    <row r="150" spans="1:11" x14ac:dyDescent="0.3">
      <c r="A150" t="s">
        <v>299</v>
      </c>
      <c r="B150">
        <f t="shared" si="2"/>
        <v>25</v>
      </c>
      <c r="I150" s="29" t="s">
        <v>398</v>
      </c>
      <c r="J150" s="28" t="s">
        <v>298</v>
      </c>
      <c r="K150" s="29">
        <v>31</v>
      </c>
    </row>
    <row r="151" spans="1:11" x14ac:dyDescent="0.3">
      <c r="A151" t="s">
        <v>300</v>
      </c>
      <c r="B151">
        <f t="shared" si="2"/>
        <v>28</v>
      </c>
      <c r="I151" s="29" t="s">
        <v>398</v>
      </c>
      <c r="J151" s="28" t="s">
        <v>299</v>
      </c>
      <c r="K151" s="29">
        <v>25</v>
      </c>
    </row>
    <row r="152" spans="1:11" x14ac:dyDescent="0.3">
      <c r="A152" t="s">
        <v>301</v>
      </c>
      <c r="B152">
        <f t="shared" si="2"/>
        <v>27</v>
      </c>
      <c r="I152" s="29" t="s">
        <v>400</v>
      </c>
      <c r="J152" s="28" t="s">
        <v>300</v>
      </c>
      <c r="K152" s="29">
        <v>28</v>
      </c>
    </row>
    <row r="153" spans="1:11" x14ac:dyDescent="0.3">
      <c r="A153" t="s">
        <v>302</v>
      </c>
      <c r="B153">
        <f t="shared" si="2"/>
        <v>68</v>
      </c>
      <c r="I153" s="29" t="s">
        <v>400</v>
      </c>
      <c r="J153" s="28" t="s">
        <v>301</v>
      </c>
      <c r="K153" s="29">
        <v>27</v>
      </c>
    </row>
    <row r="154" spans="1:11" x14ac:dyDescent="0.3">
      <c r="A154" t="s">
        <v>303</v>
      </c>
      <c r="B154">
        <f t="shared" si="2"/>
        <v>64</v>
      </c>
      <c r="I154" s="29" t="s">
        <v>400</v>
      </c>
      <c r="J154" s="28" t="s">
        <v>302</v>
      </c>
      <c r="K154" s="29">
        <v>68</v>
      </c>
    </row>
    <row r="155" spans="1:11" x14ac:dyDescent="0.3">
      <c r="A155" t="s">
        <v>304</v>
      </c>
      <c r="B155">
        <f t="shared" si="2"/>
        <v>49</v>
      </c>
      <c r="I155" s="29" t="s">
        <v>400</v>
      </c>
      <c r="J155" s="28" t="s">
        <v>303</v>
      </c>
      <c r="K155" s="29">
        <v>64</v>
      </c>
    </row>
    <row r="156" spans="1:11" x14ac:dyDescent="0.3">
      <c r="A156" t="s">
        <v>305</v>
      </c>
      <c r="B156">
        <f t="shared" si="2"/>
        <v>21</v>
      </c>
      <c r="I156" s="29" t="s">
        <v>400</v>
      </c>
      <c r="J156" s="28" t="s">
        <v>304</v>
      </c>
      <c r="K156" s="29">
        <v>49</v>
      </c>
    </row>
    <row r="157" spans="1:11" x14ac:dyDescent="0.3">
      <c r="A157" t="s">
        <v>306</v>
      </c>
      <c r="B157">
        <f t="shared" si="2"/>
        <v>24</v>
      </c>
      <c r="I157" s="29" t="s">
        <v>400</v>
      </c>
      <c r="J157" s="28" t="s">
        <v>305</v>
      </c>
      <c r="K157" s="29">
        <v>21</v>
      </c>
    </row>
    <row r="158" spans="1:11" x14ac:dyDescent="0.3">
      <c r="A158" t="s">
        <v>307</v>
      </c>
      <c r="B158">
        <f t="shared" si="2"/>
        <v>20</v>
      </c>
      <c r="I158" s="29" t="s">
        <v>400</v>
      </c>
      <c r="J158" s="28" t="s">
        <v>306</v>
      </c>
      <c r="K158" s="29">
        <v>24</v>
      </c>
    </row>
    <row r="159" spans="1:11" x14ac:dyDescent="0.3">
      <c r="A159" t="s">
        <v>308</v>
      </c>
      <c r="B159">
        <f t="shared" si="2"/>
        <v>25</v>
      </c>
      <c r="I159" s="29" t="s">
        <v>400</v>
      </c>
      <c r="J159" s="28" t="s">
        <v>307</v>
      </c>
      <c r="K159" s="29">
        <v>20</v>
      </c>
    </row>
    <row r="160" spans="1:11" x14ac:dyDescent="0.3">
      <c r="A160" t="s">
        <v>309</v>
      </c>
      <c r="B160">
        <f t="shared" si="2"/>
        <v>51</v>
      </c>
      <c r="I160" s="29" t="s">
        <v>400</v>
      </c>
      <c r="J160" s="28" t="s">
        <v>308</v>
      </c>
      <c r="K160" s="29">
        <v>25</v>
      </c>
    </row>
    <row r="161" spans="1:11" x14ac:dyDescent="0.3">
      <c r="A161" t="s">
        <v>310</v>
      </c>
      <c r="B161">
        <f t="shared" si="2"/>
        <v>56</v>
      </c>
      <c r="I161" s="29" t="s">
        <v>401</v>
      </c>
      <c r="J161" s="28" t="s">
        <v>309</v>
      </c>
      <c r="K161" s="29">
        <v>51</v>
      </c>
    </row>
    <row r="162" spans="1:11" x14ac:dyDescent="0.3">
      <c r="A162" t="s">
        <v>311</v>
      </c>
      <c r="B162">
        <f t="shared" si="2"/>
        <v>74</v>
      </c>
      <c r="I162" s="29" t="s">
        <v>401</v>
      </c>
      <c r="J162" s="28" t="s">
        <v>310</v>
      </c>
      <c r="K162" s="29">
        <v>56</v>
      </c>
    </row>
    <row r="163" spans="1:11" x14ac:dyDescent="0.3">
      <c r="A163" t="s">
        <v>312</v>
      </c>
      <c r="B163">
        <f t="shared" si="2"/>
        <v>97</v>
      </c>
      <c r="I163" s="29" t="s">
        <v>401</v>
      </c>
      <c r="J163" s="28" t="s">
        <v>311</v>
      </c>
      <c r="K163" s="29">
        <v>74</v>
      </c>
    </row>
    <row r="164" spans="1:11" x14ac:dyDescent="0.3">
      <c r="A164" t="s">
        <v>313</v>
      </c>
      <c r="B164">
        <f t="shared" si="2"/>
        <v>65</v>
      </c>
      <c r="I164" s="29" t="s">
        <v>401</v>
      </c>
      <c r="J164" s="28" t="s">
        <v>312</v>
      </c>
      <c r="K164" s="29">
        <v>97</v>
      </c>
    </row>
    <row r="165" spans="1:11" x14ac:dyDescent="0.3">
      <c r="A165" t="s">
        <v>314</v>
      </c>
      <c r="B165">
        <f t="shared" si="2"/>
        <v>33</v>
      </c>
      <c r="I165" s="29" t="s">
        <v>401</v>
      </c>
      <c r="J165" s="28" t="s">
        <v>313</v>
      </c>
      <c r="K165" s="29">
        <v>65</v>
      </c>
    </row>
    <row r="166" spans="1:11" x14ac:dyDescent="0.3">
      <c r="A166" t="s">
        <v>315</v>
      </c>
      <c r="B166">
        <f t="shared" si="2"/>
        <v>40</v>
      </c>
      <c r="I166" s="29" t="s">
        <v>401</v>
      </c>
      <c r="J166" s="28" t="s">
        <v>314</v>
      </c>
      <c r="K166" s="29">
        <v>33</v>
      </c>
    </row>
    <row r="167" spans="1:11" x14ac:dyDescent="0.3">
      <c r="A167" t="s">
        <v>316</v>
      </c>
      <c r="B167">
        <f t="shared" si="2"/>
        <v>41</v>
      </c>
      <c r="I167" s="29" t="s">
        <v>401</v>
      </c>
      <c r="J167" s="28" t="s">
        <v>315</v>
      </c>
      <c r="K167" s="29">
        <v>40</v>
      </c>
    </row>
    <row r="168" spans="1:11" x14ac:dyDescent="0.3">
      <c r="A168" t="s">
        <v>317</v>
      </c>
      <c r="B168">
        <f t="shared" si="2"/>
        <v>82</v>
      </c>
      <c r="I168" s="29" t="s">
        <v>401</v>
      </c>
      <c r="J168" s="28" t="s">
        <v>316</v>
      </c>
      <c r="K168" s="29">
        <v>41</v>
      </c>
    </row>
    <row r="169" spans="1:11" x14ac:dyDescent="0.3">
      <c r="A169" t="s">
        <v>318</v>
      </c>
      <c r="B169">
        <f t="shared" si="2"/>
        <v>85</v>
      </c>
      <c r="I169" s="29" t="s">
        <v>402</v>
      </c>
      <c r="J169" s="28" t="s">
        <v>317</v>
      </c>
      <c r="K169" s="29">
        <v>82</v>
      </c>
    </row>
    <row r="170" spans="1:11" x14ac:dyDescent="0.3">
      <c r="A170" t="s">
        <v>319</v>
      </c>
      <c r="B170">
        <f t="shared" si="2"/>
        <v>76</v>
      </c>
      <c r="I170" s="29" t="s">
        <v>402</v>
      </c>
      <c r="J170" s="28" t="s">
        <v>318</v>
      </c>
      <c r="K170" s="29">
        <v>85</v>
      </c>
    </row>
    <row r="171" spans="1:11" x14ac:dyDescent="0.3">
      <c r="A171" t="s">
        <v>320</v>
      </c>
      <c r="B171">
        <f t="shared" si="2"/>
        <v>65</v>
      </c>
      <c r="I171" s="29" t="s">
        <v>402</v>
      </c>
      <c r="J171" s="28" t="s">
        <v>319</v>
      </c>
      <c r="K171" s="29">
        <v>76</v>
      </c>
    </row>
    <row r="172" spans="1:11" x14ac:dyDescent="0.3">
      <c r="A172" t="s">
        <v>321</v>
      </c>
      <c r="B172">
        <f t="shared" si="2"/>
        <v>65</v>
      </c>
      <c r="I172" s="29" t="s">
        <v>402</v>
      </c>
      <c r="J172" s="28" t="s">
        <v>320</v>
      </c>
      <c r="K172" s="29">
        <v>65</v>
      </c>
    </row>
    <row r="173" spans="1:11" x14ac:dyDescent="0.3">
      <c r="A173" t="s">
        <v>322</v>
      </c>
      <c r="B173">
        <f t="shared" si="2"/>
        <v>40</v>
      </c>
      <c r="I173" s="29" t="s">
        <v>402</v>
      </c>
      <c r="J173" s="28" t="s">
        <v>321</v>
      </c>
      <c r="K173" s="29">
        <v>65</v>
      </c>
    </row>
    <row r="174" spans="1:11" x14ac:dyDescent="0.3">
      <c r="A174" t="s">
        <v>323</v>
      </c>
      <c r="B174">
        <f t="shared" si="2"/>
        <v>23</v>
      </c>
      <c r="I174" s="29" t="s">
        <v>402</v>
      </c>
      <c r="J174" s="28" t="s">
        <v>322</v>
      </c>
      <c r="K174" s="29">
        <v>40</v>
      </c>
    </row>
    <row r="175" spans="1:11" x14ac:dyDescent="0.3">
      <c r="A175" t="s">
        <v>324</v>
      </c>
      <c r="B175">
        <f t="shared" si="2"/>
        <v>34</v>
      </c>
      <c r="I175" s="29" t="s">
        <v>402</v>
      </c>
      <c r="J175" s="28" t="s">
        <v>323</v>
      </c>
      <c r="K175" s="29">
        <v>23</v>
      </c>
    </row>
    <row r="176" spans="1:11" x14ac:dyDescent="0.3">
      <c r="A176" t="s">
        <v>325</v>
      </c>
      <c r="B176">
        <f t="shared" si="2"/>
        <v>100</v>
      </c>
      <c r="I176" s="29" t="s">
        <v>402</v>
      </c>
      <c r="J176" s="28" t="s">
        <v>324</v>
      </c>
      <c r="K176" s="29">
        <v>34</v>
      </c>
    </row>
    <row r="177" spans="1:11" x14ac:dyDescent="0.3">
      <c r="A177" t="s">
        <v>326</v>
      </c>
      <c r="B177">
        <f t="shared" si="2"/>
        <v>23</v>
      </c>
      <c r="I177" s="29" t="s">
        <v>403</v>
      </c>
      <c r="J177" s="28" t="s">
        <v>325</v>
      </c>
      <c r="K177" s="29">
        <v>100</v>
      </c>
    </row>
    <row r="178" spans="1:11" x14ac:dyDescent="0.3">
      <c r="A178" t="s">
        <v>327</v>
      </c>
      <c r="B178">
        <f t="shared" si="2"/>
        <v>38</v>
      </c>
      <c r="I178" s="29" t="s">
        <v>403</v>
      </c>
      <c r="J178" s="28" t="s">
        <v>326</v>
      </c>
      <c r="K178" s="29">
        <v>23</v>
      </c>
    </row>
    <row r="179" spans="1:11" x14ac:dyDescent="0.3">
      <c r="A179" t="s">
        <v>328</v>
      </c>
      <c r="B179">
        <f t="shared" si="2"/>
        <v>91</v>
      </c>
      <c r="I179" s="29" t="s">
        <v>403</v>
      </c>
      <c r="J179" s="28" t="s">
        <v>327</v>
      </c>
      <c r="K179" s="29">
        <v>38</v>
      </c>
    </row>
    <row r="180" spans="1:11" x14ac:dyDescent="0.3">
      <c r="A180" t="s">
        <v>329</v>
      </c>
      <c r="B180">
        <f t="shared" si="2"/>
        <v>53</v>
      </c>
      <c r="I180" s="29" t="s">
        <v>403</v>
      </c>
      <c r="J180" s="28" t="s">
        <v>328</v>
      </c>
      <c r="K180" s="29">
        <v>91</v>
      </c>
    </row>
    <row r="181" spans="1:11" x14ac:dyDescent="0.3">
      <c r="A181" t="s">
        <v>330</v>
      </c>
      <c r="B181">
        <f t="shared" si="2"/>
        <v>61</v>
      </c>
      <c r="I181" s="29" t="s">
        <v>403</v>
      </c>
      <c r="J181" s="28" t="s">
        <v>329</v>
      </c>
      <c r="K181" s="29">
        <v>53</v>
      </c>
    </row>
    <row r="182" spans="1:11" x14ac:dyDescent="0.3">
      <c r="A182" t="s">
        <v>331</v>
      </c>
      <c r="B182">
        <f t="shared" si="2"/>
        <v>24</v>
      </c>
      <c r="I182" s="29" t="s">
        <v>403</v>
      </c>
      <c r="J182" s="28" t="s">
        <v>330</v>
      </c>
      <c r="K182" s="29">
        <v>61</v>
      </c>
    </row>
    <row r="183" spans="1:11" x14ac:dyDescent="0.3">
      <c r="A183" t="s">
        <v>332</v>
      </c>
      <c r="B183">
        <f t="shared" si="2"/>
        <v>141</v>
      </c>
      <c r="I183" s="29" t="s">
        <v>403</v>
      </c>
      <c r="J183" s="28" t="s">
        <v>331</v>
      </c>
      <c r="K183" s="29">
        <v>24</v>
      </c>
    </row>
    <row r="184" spans="1:11" x14ac:dyDescent="0.3">
      <c r="A184" t="s">
        <v>333</v>
      </c>
      <c r="B184">
        <f t="shared" si="2"/>
        <v>90</v>
      </c>
      <c r="I184" s="29" t="s">
        <v>403</v>
      </c>
      <c r="J184" s="28" t="s">
        <v>332</v>
      </c>
      <c r="K184" s="29">
        <v>141</v>
      </c>
    </row>
    <row r="185" spans="1:11" x14ac:dyDescent="0.3">
      <c r="A185" t="s">
        <v>334</v>
      </c>
      <c r="B185">
        <f t="shared" si="2"/>
        <v>92</v>
      </c>
      <c r="I185" s="29" t="s">
        <v>403</v>
      </c>
      <c r="J185" s="28" t="s">
        <v>333</v>
      </c>
      <c r="K185" s="29">
        <v>90</v>
      </c>
    </row>
    <row r="186" spans="1:11" x14ac:dyDescent="0.3">
      <c r="A186" t="s">
        <v>335</v>
      </c>
      <c r="B186">
        <f t="shared" si="2"/>
        <v>102</v>
      </c>
      <c r="I186" s="29" t="s">
        <v>403</v>
      </c>
      <c r="J186" s="28" t="s">
        <v>334</v>
      </c>
      <c r="K186" s="29">
        <v>92</v>
      </c>
    </row>
    <row r="187" spans="1:11" x14ac:dyDescent="0.3">
      <c r="A187" t="s">
        <v>336</v>
      </c>
      <c r="B187">
        <f t="shared" si="2"/>
        <v>34</v>
      </c>
      <c r="I187" s="29" t="s">
        <v>403</v>
      </c>
      <c r="J187" s="28" t="s">
        <v>335</v>
      </c>
      <c r="K187" s="29">
        <v>102</v>
      </c>
    </row>
    <row r="188" spans="1:11" x14ac:dyDescent="0.3">
      <c r="A188" t="s">
        <v>337</v>
      </c>
      <c r="B188">
        <f t="shared" si="2"/>
        <v>48</v>
      </c>
      <c r="I188" s="29" t="s">
        <v>403</v>
      </c>
      <c r="J188" s="28" t="s">
        <v>336</v>
      </c>
      <c r="K188" s="29">
        <v>34</v>
      </c>
    </row>
    <row r="189" spans="1:11" x14ac:dyDescent="0.3">
      <c r="A189" t="s">
        <v>338</v>
      </c>
      <c r="B189">
        <f t="shared" si="2"/>
        <v>84</v>
      </c>
      <c r="I189" s="29" t="s">
        <v>403</v>
      </c>
      <c r="J189" s="28" t="s">
        <v>337</v>
      </c>
      <c r="K189" s="29">
        <v>48</v>
      </c>
    </row>
    <row r="190" spans="1:11" x14ac:dyDescent="0.3">
      <c r="A190" t="s">
        <v>339</v>
      </c>
      <c r="B190">
        <f t="shared" si="2"/>
        <v>71</v>
      </c>
      <c r="I190" s="29" t="s">
        <v>403</v>
      </c>
      <c r="J190" s="28" t="s">
        <v>338</v>
      </c>
      <c r="K190" s="29">
        <v>84</v>
      </c>
    </row>
    <row r="191" spans="1:11" x14ac:dyDescent="0.3">
      <c r="A191" t="s">
        <v>340</v>
      </c>
      <c r="B191">
        <f t="shared" si="2"/>
        <v>30</v>
      </c>
      <c r="I191" s="29" t="s">
        <v>403</v>
      </c>
      <c r="J191" s="28" t="s">
        <v>339</v>
      </c>
      <c r="K191" s="29">
        <v>71</v>
      </c>
    </row>
    <row r="192" spans="1:11" x14ac:dyDescent="0.3">
      <c r="A192" t="s">
        <v>341</v>
      </c>
      <c r="B192">
        <f t="shared" si="2"/>
        <v>38</v>
      </c>
      <c r="I192" s="29" t="s">
        <v>403</v>
      </c>
      <c r="J192" s="28" t="s">
        <v>340</v>
      </c>
      <c r="K192" s="29">
        <v>30</v>
      </c>
    </row>
    <row r="193" spans="1:11" x14ac:dyDescent="0.3">
      <c r="A193" t="s">
        <v>342</v>
      </c>
      <c r="B193">
        <f t="shared" si="2"/>
        <v>110</v>
      </c>
      <c r="I193" s="29" t="s">
        <v>403</v>
      </c>
      <c r="J193" s="28" t="s">
        <v>341</v>
      </c>
      <c r="K193" s="29">
        <v>38</v>
      </c>
    </row>
    <row r="194" spans="1:11" x14ac:dyDescent="0.3">
      <c r="A194" t="s">
        <v>343</v>
      </c>
      <c r="B194">
        <f t="shared" si="2"/>
        <v>72</v>
      </c>
      <c r="I194" s="29" t="s">
        <v>404</v>
      </c>
      <c r="J194" s="28" t="s">
        <v>342</v>
      </c>
      <c r="K194" s="29">
        <v>110</v>
      </c>
    </row>
    <row r="195" spans="1:11" x14ac:dyDescent="0.3">
      <c r="A195" t="s">
        <v>344</v>
      </c>
      <c r="B195">
        <f t="shared" si="2"/>
        <v>75</v>
      </c>
      <c r="I195" s="29" t="s">
        <v>404</v>
      </c>
      <c r="J195" s="28" t="s">
        <v>343</v>
      </c>
      <c r="K195" s="29">
        <v>72</v>
      </c>
    </row>
    <row r="196" spans="1:11" x14ac:dyDescent="0.3">
      <c r="A196" t="s">
        <v>345</v>
      </c>
      <c r="B196">
        <f t="shared" si="2"/>
        <v>68</v>
      </c>
      <c r="I196" s="29" t="s">
        <v>404</v>
      </c>
      <c r="J196" s="28" t="s">
        <v>344</v>
      </c>
      <c r="K196" s="29">
        <v>75</v>
      </c>
    </row>
    <row r="197" spans="1:11" x14ac:dyDescent="0.3">
      <c r="A197" t="s">
        <v>346</v>
      </c>
      <c r="B197">
        <f t="shared" ref="B197:B245" si="3">_xlfn.XLOOKUP(A197,$J$4:$J$247,$K$4:$K$247)</f>
        <v>57</v>
      </c>
      <c r="I197" s="29" t="s">
        <v>404</v>
      </c>
      <c r="J197" s="28" t="s">
        <v>345</v>
      </c>
      <c r="K197" s="29">
        <v>68</v>
      </c>
    </row>
    <row r="198" spans="1:11" x14ac:dyDescent="0.3">
      <c r="A198" t="s">
        <v>347</v>
      </c>
      <c r="B198">
        <f t="shared" si="3"/>
        <v>47</v>
      </c>
      <c r="I198" s="29" t="s">
        <v>404</v>
      </c>
      <c r="J198" s="28" t="s">
        <v>346</v>
      </c>
      <c r="K198" s="29">
        <v>57</v>
      </c>
    </row>
    <row r="199" spans="1:11" x14ac:dyDescent="0.3">
      <c r="A199" t="s">
        <v>348</v>
      </c>
      <c r="B199">
        <f t="shared" si="3"/>
        <v>38</v>
      </c>
      <c r="I199" s="29" t="s">
        <v>404</v>
      </c>
      <c r="J199" s="28" t="s">
        <v>347</v>
      </c>
      <c r="K199" s="29">
        <v>47</v>
      </c>
    </row>
    <row r="200" spans="1:11" x14ac:dyDescent="0.3">
      <c r="A200" t="s">
        <v>349</v>
      </c>
      <c r="B200">
        <f t="shared" si="3"/>
        <v>39</v>
      </c>
      <c r="I200" s="29" t="s">
        <v>404</v>
      </c>
      <c r="J200" s="28" t="s">
        <v>348</v>
      </c>
      <c r="K200" s="29">
        <v>38</v>
      </c>
    </row>
    <row r="201" spans="1:11" x14ac:dyDescent="0.3">
      <c r="A201" t="s">
        <v>350</v>
      </c>
      <c r="B201">
        <f t="shared" si="3"/>
        <v>57</v>
      </c>
      <c r="I201" s="29" t="s">
        <v>404</v>
      </c>
      <c r="J201" s="28" t="s">
        <v>349</v>
      </c>
      <c r="K201" s="29">
        <v>39</v>
      </c>
    </row>
    <row r="202" spans="1:11" x14ac:dyDescent="0.3">
      <c r="A202" t="s">
        <v>351</v>
      </c>
      <c r="B202">
        <f t="shared" si="3"/>
        <v>110</v>
      </c>
      <c r="I202" s="29" t="s">
        <v>404</v>
      </c>
      <c r="J202" s="28" t="s">
        <v>350</v>
      </c>
      <c r="K202" s="29">
        <v>57</v>
      </c>
    </row>
    <row r="203" spans="1:11" x14ac:dyDescent="0.3">
      <c r="A203" t="s">
        <v>352</v>
      </c>
      <c r="B203">
        <f t="shared" si="3"/>
        <v>224</v>
      </c>
      <c r="I203" s="29" t="s">
        <v>406</v>
      </c>
      <c r="J203" s="28" t="s">
        <v>351</v>
      </c>
      <c r="K203" s="29">
        <v>110</v>
      </c>
    </row>
    <row r="204" spans="1:11" x14ac:dyDescent="0.3">
      <c r="A204" t="s">
        <v>353</v>
      </c>
      <c r="B204">
        <f t="shared" si="3"/>
        <v>237</v>
      </c>
      <c r="I204" s="29" t="s">
        <v>406</v>
      </c>
      <c r="J204" s="28" t="s">
        <v>352</v>
      </c>
      <c r="K204" s="29">
        <v>224</v>
      </c>
    </row>
    <row r="205" spans="1:11" x14ac:dyDescent="0.3">
      <c r="A205" t="s">
        <v>354</v>
      </c>
      <c r="B205">
        <f t="shared" si="3"/>
        <v>37</v>
      </c>
      <c r="I205" s="29" t="s">
        <v>406</v>
      </c>
      <c r="J205" s="28" t="s">
        <v>353</v>
      </c>
      <c r="K205" s="29">
        <v>237</v>
      </c>
    </row>
    <row r="206" spans="1:11" x14ac:dyDescent="0.3">
      <c r="A206" t="s">
        <v>355</v>
      </c>
      <c r="B206">
        <f t="shared" si="3"/>
        <v>175</v>
      </c>
      <c r="I206" s="29" t="s">
        <v>406</v>
      </c>
      <c r="J206" s="28" t="s">
        <v>354</v>
      </c>
      <c r="K206" s="29">
        <v>37</v>
      </c>
    </row>
    <row r="207" spans="1:11" x14ac:dyDescent="0.3">
      <c r="A207" t="s">
        <v>356</v>
      </c>
      <c r="B207">
        <f t="shared" si="3"/>
        <v>146</v>
      </c>
      <c r="I207" s="29" t="s">
        <v>406</v>
      </c>
      <c r="J207" s="28" t="s">
        <v>355</v>
      </c>
      <c r="K207" s="29">
        <v>175</v>
      </c>
    </row>
    <row r="208" spans="1:11" x14ac:dyDescent="0.3">
      <c r="A208" t="s">
        <v>357</v>
      </c>
      <c r="B208">
        <f t="shared" si="3"/>
        <v>20</v>
      </c>
      <c r="I208" s="29" t="s">
        <v>406</v>
      </c>
      <c r="J208" s="28" t="s">
        <v>356</v>
      </c>
      <c r="K208" s="29">
        <v>146</v>
      </c>
    </row>
    <row r="209" spans="1:11" x14ac:dyDescent="0.3">
      <c r="A209" t="s">
        <v>358</v>
      </c>
      <c r="B209">
        <f t="shared" si="3"/>
        <v>28</v>
      </c>
      <c r="I209" s="29" t="s">
        <v>398</v>
      </c>
      <c r="J209" s="28" t="s">
        <v>357</v>
      </c>
      <c r="K209" s="29">
        <v>20</v>
      </c>
    </row>
    <row r="210" spans="1:11" x14ac:dyDescent="0.3">
      <c r="A210" t="s">
        <v>359</v>
      </c>
      <c r="B210">
        <f t="shared" si="3"/>
        <v>28</v>
      </c>
      <c r="I210" s="29" t="s">
        <v>398</v>
      </c>
      <c r="J210" s="28" t="s">
        <v>358</v>
      </c>
      <c r="K210" s="29">
        <v>28</v>
      </c>
    </row>
    <row r="211" spans="1:11" x14ac:dyDescent="0.3">
      <c r="A211" t="s">
        <v>360</v>
      </c>
      <c r="B211">
        <f t="shared" si="3"/>
        <v>31</v>
      </c>
      <c r="I211" s="29" t="s">
        <v>400</v>
      </c>
      <c r="J211" s="28" t="s">
        <v>359</v>
      </c>
      <c r="K211" s="29">
        <v>28</v>
      </c>
    </row>
    <row r="212" spans="1:11" x14ac:dyDescent="0.3">
      <c r="A212" t="s">
        <v>361</v>
      </c>
      <c r="B212">
        <f t="shared" si="3"/>
        <v>41</v>
      </c>
      <c r="I212" s="29" t="s">
        <v>400</v>
      </c>
      <c r="J212" s="28" t="s">
        <v>360</v>
      </c>
      <c r="K212" s="29">
        <v>31</v>
      </c>
    </row>
    <row r="213" spans="1:11" x14ac:dyDescent="0.3">
      <c r="A213" t="s">
        <v>362</v>
      </c>
      <c r="B213">
        <f t="shared" si="3"/>
        <v>30</v>
      </c>
      <c r="I213" s="29" t="s">
        <v>400</v>
      </c>
      <c r="J213" s="28" t="s">
        <v>361</v>
      </c>
      <c r="K213" s="29">
        <v>41</v>
      </c>
    </row>
    <row r="214" spans="1:11" x14ac:dyDescent="0.3">
      <c r="A214" t="s">
        <v>363</v>
      </c>
      <c r="B214">
        <f t="shared" si="3"/>
        <v>32</v>
      </c>
      <c r="I214" s="29" t="s">
        <v>401</v>
      </c>
      <c r="J214" s="28" t="s">
        <v>362</v>
      </c>
      <c r="K214" s="29">
        <v>30</v>
      </c>
    </row>
    <row r="215" spans="1:11" x14ac:dyDescent="0.3">
      <c r="A215" t="s">
        <v>364</v>
      </c>
      <c r="B215">
        <f t="shared" si="3"/>
        <v>29</v>
      </c>
      <c r="I215" s="29" t="s">
        <v>401</v>
      </c>
      <c r="J215" s="28" t="s">
        <v>363</v>
      </c>
      <c r="K215" s="29">
        <v>32</v>
      </c>
    </row>
    <row r="216" spans="1:11" x14ac:dyDescent="0.3">
      <c r="A216" t="s">
        <v>365</v>
      </c>
      <c r="B216">
        <f t="shared" si="3"/>
        <v>29</v>
      </c>
      <c r="I216" s="29" t="s">
        <v>401</v>
      </c>
      <c r="J216" s="28" t="s">
        <v>364</v>
      </c>
      <c r="K216" s="29">
        <v>29</v>
      </c>
    </row>
    <row r="217" spans="1:11" x14ac:dyDescent="0.3">
      <c r="A217" t="s">
        <v>366</v>
      </c>
      <c r="B217">
        <f t="shared" si="3"/>
        <v>44</v>
      </c>
      <c r="I217" s="29" t="s">
        <v>401</v>
      </c>
      <c r="J217" s="28" t="s">
        <v>365</v>
      </c>
      <c r="K217" s="29">
        <v>29</v>
      </c>
    </row>
    <row r="218" spans="1:11" x14ac:dyDescent="0.3">
      <c r="A218" t="s">
        <v>367</v>
      </c>
      <c r="B218">
        <f t="shared" si="3"/>
        <v>38</v>
      </c>
      <c r="I218" s="29" t="s">
        <v>401</v>
      </c>
      <c r="J218" s="28" t="s">
        <v>366</v>
      </c>
      <c r="K218" s="29">
        <v>44</v>
      </c>
    </row>
    <row r="219" spans="1:11" x14ac:dyDescent="0.3">
      <c r="A219" t="s">
        <v>368</v>
      </c>
      <c r="B219">
        <f t="shared" si="3"/>
        <v>39</v>
      </c>
      <c r="I219" s="29" t="s">
        <v>401</v>
      </c>
      <c r="J219" s="28" t="s">
        <v>367</v>
      </c>
      <c r="K219" s="29">
        <v>38</v>
      </c>
    </row>
    <row r="220" spans="1:11" x14ac:dyDescent="0.3">
      <c r="A220" t="s">
        <v>369</v>
      </c>
      <c r="B220">
        <f t="shared" si="3"/>
        <v>63</v>
      </c>
      <c r="I220" s="29" t="s">
        <v>402</v>
      </c>
      <c r="J220" s="28" t="s">
        <v>368</v>
      </c>
      <c r="K220" s="29">
        <v>39</v>
      </c>
    </row>
    <row r="221" spans="1:11" x14ac:dyDescent="0.3">
      <c r="A221" t="s">
        <v>370</v>
      </c>
      <c r="B221">
        <f t="shared" si="3"/>
        <v>55</v>
      </c>
      <c r="I221" s="29" t="s">
        <v>402</v>
      </c>
      <c r="J221" s="28" t="s">
        <v>369</v>
      </c>
      <c r="K221" s="29">
        <v>63</v>
      </c>
    </row>
    <row r="222" spans="1:11" x14ac:dyDescent="0.3">
      <c r="A222" t="s">
        <v>371</v>
      </c>
      <c r="B222">
        <f t="shared" si="3"/>
        <v>70</v>
      </c>
      <c r="I222" s="29" t="s">
        <v>402</v>
      </c>
      <c r="J222" s="28" t="s">
        <v>370</v>
      </c>
      <c r="K222" s="29">
        <v>55</v>
      </c>
    </row>
    <row r="223" spans="1:11" x14ac:dyDescent="0.3">
      <c r="A223" t="s">
        <v>372</v>
      </c>
      <c r="B223">
        <f t="shared" si="3"/>
        <v>67</v>
      </c>
      <c r="I223" s="29" t="s">
        <v>402</v>
      </c>
      <c r="J223" s="28" t="s">
        <v>371</v>
      </c>
      <c r="K223" s="29">
        <v>70</v>
      </c>
    </row>
    <row r="224" spans="1:11" x14ac:dyDescent="0.3">
      <c r="A224" t="s">
        <v>373</v>
      </c>
      <c r="B224">
        <f t="shared" si="3"/>
        <v>82</v>
      </c>
      <c r="I224" s="29" t="s">
        <v>402</v>
      </c>
      <c r="J224" s="28" t="s">
        <v>372</v>
      </c>
      <c r="K224" s="29">
        <v>67</v>
      </c>
    </row>
    <row r="225" spans="1:11" x14ac:dyDescent="0.3">
      <c r="A225" t="s">
        <v>374</v>
      </c>
      <c r="B225">
        <f t="shared" si="3"/>
        <v>24</v>
      </c>
      <c r="I225" s="29" t="s">
        <v>402</v>
      </c>
      <c r="J225" s="28" t="s">
        <v>373</v>
      </c>
      <c r="K225" s="29">
        <v>82</v>
      </c>
    </row>
    <row r="226" spans="1:11" x14ac:dyDescent="0.3">
      <c r="A226" t="s">
        <v>375</v>
      </c>
      <c r="B226">
        <f t="shared" si="3"/>
        <v>96</v>
      </c>
      <c r="I226" s="29" t="s">
        <v>402</v>
      </c>
      <c r="J226" s="28" t="s">
        <v>374</v>
      </c>
      <c r="K226" s="29">
        <v>24</v>
      </c>
    </row>
    <row r="227" spans="1:11" x14ac:dyDescent="0.3">
      <c r="A227" t="s">
        <v>376</v>
      </c>
      <c r="B227">
        <f t="shared" si="3"/>
        <v>42</v>
      </c>
      <c r="I227" s="29" t="s">
        <v>402</v>
      </c>
      <c r="J227" s="28" t="s">
        <v>375</v>
      </c>
      <c r="K227" s="29">
        <v>96</v>
      </c>
    </row>
    <row r="228" spans="1:11" x14ac:dyDescent="0.3">
      <c r="A228" t="s">
        <v>377</v>
      </c>
      <c r="B228">
        <f t="shared" si="3"/>
        <v>52</v>
      </c>
      <c r="I228" s="29" t="s">
        <v>403</v>
      </c>
      <c r="J228" s="28" t="s">
        <v>376</v>
      </c>
      <c r="K228" s="29">
        <v>42</v>
      </c>
    </row>
    <row r="229" spans="1:11" x14ac:dyDescent="0.3">
      <c r="A229" t="s">
        <v>378</v>
      </c>
      <c r="B229">
        <f t="shared" si="3"/>
        <v>45</v>
      </c>
      <c r="I229" s="29" t="s">
        <v>403</v>
      </c>
      <c r="J229" s="28" t="s">
        <v>377</v>
      </c>
      <c r="K229" s="29">
        <v>52</v>
      </c>
    </row>
    <row r="230" spans="1:11" x14ac:dyDescent="0.3">
      <c r="A230" t="s">
        <v>379</v>
      </c>
      <c r="B230">
        <f t="shared" si="3"/>
        <v>20</v>
      </c>
      <c r="I230" s="29" t="s">
        <v>403</v>
      </c>
      <c r="J230" s="28" t="s">
        <v>378</v>
      </c>
      <c r="K230" s="29">
        <v>45</v>
      </c>
    </row>
    <row r="231" spans="1:11" x14ac:dyDescent="0.3">
      <c r="A231" t="s">
        <v>380</v>
      </c>
      <c r="B231">
        <f t="shared" si="3"/>
        <v>56</v>
      </c>
      <c r="I231" s="29" t="s">
        <v>403</v>
      </c>
      <c r="J231" s="28" t="s">
        <v>379</v>
      </c>
      <c r="K231" s="29">
        <v>20</v>
      </c>
    </row>
    <row r="232" spans="1:11" x14ac:dyDescent="0.3">
      <c r="A232" t="s">
        <v>381</v>
      </c>
      <c r="B232">
        <f t="shared" si="3"/>
        <v>118</v>
      </c>
      <c r="I232" s="29" t="s">
        <v>403</v>
      </c>
      <c r="J232" s="28" t="s">
        <v>380</v>
      </c>
      <c r="K232" s="29">
        <v>56</v>
      </c>
    </row>
    <row r="233" spans="1:11" x14ac:dyDescent="0.3">
      <c r="A233" t="s">
        <v>382</v>
      </c>
      <c r="B233">
        <f t="shared" si="3"/>
        <v>41</v>
      </c>
      <c r="I233" s="29" t="s">
        <v>403</v>
      </c>
      <c r="J233" s="28" t="s">
        <v>381</v>
      </c>
      <c r="K233" s="29">
        <v>118</v>
      </c>
    </row>
    <row r="234" spans="1:11" x14ac:dyDescent="0.3">
      <c r="A234" t="s">
        <v>383</v>
      </c>
      <c r="B234">
        <f t="shared" si="3"/>
        <v>41</v>
      </c>
      <c r="I234" s="29" t="s">
        <v>403</v>
      </c>
      <c r="J234" s="28" t="s">
        <v>382</v>
      </c>
      <c r="K234" s="29">
        <v>41</v>
      </c>
    </row>
    <row r="235" spans="1:11" x14ac:dyDescent="0.3">
      <c r="A235" t="s">
        <v>384</v>
      </c>
      <c r="B235">
        <f t="shared" si="3"/>
        <v>49</v>
      </c>
      <c r="I235" s="29" t="s">
        <v>403</v>
      </c>
      <c r="J235" s="28" t="s">
        <v>383</v>
      </c>
      <c r="K235" s="29">
        <v>41</v>
      </c>
    </row>
    <row r="236" spans="1:11" x14ac:dyDescent="0.3">
      <c r="A236" t="s">
        <v>385</v>
      </c>
      <c r="B236">
        <f t="shared" si="3"/>
        <v>40</v>
      </c>
      <c r="I236" s="29" t="s">
        <v>403</v>
      </c>
      <c r="J236" s="28" t="s">
        <v>384</v>
      </c>
      <c r="K236" s="29">
        <v>49</v>
      </c>
    </row>
    <row r="237" spans="1:11" x14ac:dyDescent="0.3">
      <c r="A237" t="s">
        <v>386</v>
      </c>
      <c r="B237">
        <f t="shared" si="3"/>
        <v>20</v>
      </c>
      <c r="I237" s="29" t="s">
        <v>403</v>
      </c>
      <c r="J237" s="28" t="s">
        <v>385</v>
      </c>
      <c r="K237" s="29">
        <v>40</v>
      </c>
    </row>
    <row r="238" spans="1:11" x14ac:dyDescent="0.3">
      <c r="A238" t="s">
        <v>387</v>
      </c>
      <c r="B238">
        <f t="shared" si="3"/>
        <v>51</v>
      </c>
      <c r="I238" s="29" t="s">
        <v>403</v>
      </c>
      <c r="J238" s="28" t="s">
        <v>386</v>
      </c>
      <c r="K238" s="29">
        <v>20</v>
      </c>
    </row>
    <row r="239" spans="1:11" x14ac:dyDescent="0.3">
      <c r="A239" t="s">
        <v>388</v>
      </c>
      <c r="B239">
        <f t="shared" si="3"/>
        <v>33</v>
      </c>
      <c r="I239" s="29" t="s">
        <v>404</v>
      </c>
      <c r="J239" s="28" t="s">
        <v>387</v>
      </c>
      <c r="K239" s="29">
        <v>51</v>
      </c>
    </row>
    <row r="240" spans="1:11" x14ac:dyDescent="0.3">
      <c r="A240" t="s">
        <v>389</v>
      </c>
      <c r="B240">
        <f t="shared" si="3"/>
        <v>86</v>
      </c>
      <c r="I240" s="29" t="s">
        <v>404</v>
      </c>
      <c r="J240" s="28" t="s">
        <v>388</v>
      </c>
      <c r="K240" s="29">
        <v>33</v>
      </c>
    </row>
    <row r="241" spans="1:11" x14ac:dyDescent="0.3">
      <c r="A241" t="s">
        <v>390</v>
      </c>
      <c r="B241">
        <f t="shared" si="3"/>
        <v>26</v>
      </c>
      <c r="I241" s="29" t="s">
        <v>404</v>
      </c>
      <c r="J241" s="28" t="s">
        <v>389</v>
      </c>
      <c r="K241" s="29">
        <v>86</v>
      </c>
    </row>
    <row r="242" spans="1:11" x14ac:dyDescent="0.3">
      <c r="A242" t="s">
        <v>391</v>
      </c>
      <c r="B242">
        <f t="shared" si="3"/>
        <v>103</v>
      </c>
      <c r="I242" s="29" t="s">
        <v>404</v>
      </c>
      <c r="J242" s="28" t="s">
        <v>390</v>
      </c>
      <c r="K242" s="29">
        <v>26</v>
      </c>
    </row>
    <row r="243" spans="1:11" x14ac:dyDescent="0.3">
      <c r="A243" t="s">
        <v>392</v>
      </c>
      <c r="B243">
        <f t="shared" si="3"/>
        <v>139</v>
      </c>
      <c r="I243" s="29" t="s">
        <v>406</v>
      </c>
      <c r="J243" s="28" t="s">
        <v>391</v>
      </c>
      <c r="K243" s="29">
        <v>103</v>
      </c>
    </row>
    <row r="244" spans="1:11" x14ac:dyDescent="0.3">
      <c r="A244" t="s">
        <v>393</v>
      </c>
      <c r="B244">
        <f t="shared" si="3"/>
        <v>83</v>
      </c>
      <c r="I244" s="29" t="s">
        <v>406</v>
      </c>
      <c r="J244" s="28" t="s">
        <v>392</v>
      </c>
      <c r="K244" s="29">
        <v>139</v>
      </c>
    </row>
    <row r="245" spans="1:11" x14ac:dyDescent="0.3">
      <c r="A245" t="s">
        <v>394</v>
      </c>
      <c r="B245">
        <f t="shared" si="3"/>
        <v>36</v>
      </c>
      <c r="I245" s="29" t="s">
        <v>406</v>
      </c>
      <c r="J245" s="28" t="s">
        <v>393</v>
      </c>
      <c r="K245" s="29">
        <v>83</v>
      </c>
    </row>
    <row r="246" spans="1:11" x14ac:dyDescent="0.3">
      <c r="A246" t="s">
        <v>395</v>
      </c>
      <c r="B246">
        <f>_xlfn.XLOOKUP(A246,$J$4:$J$247,$K$4:$K$247)</f>
        <v>90</v>
      </c>
      <c r="I246" s="29" t="s">
        <v>406</v>
      </c>
      <c r="J246" s="28" t="s">
        <v>394</v>
      </c>
      <c r="K246" s="29">
        <v>36</v>
      </c>
    </row>
    <row r="247" spans="1:11" x14ac:dyDescent="0.3">
      <c r="I247" s="29" t="s">
        <v>406</v>
      </c>
      <c r="J247" s="28" t="s">
        <v>395</v>
      </c>
      <c r="K247" s="29">
        <v>90</v>
      </c>
    </row>
  </sheetData>
  <mergeCells count="2">
    <mergeCell ref="A1:E1"/>
    <mergeCell ref="I2:K2"/>
  </mergeCells>
  <conditionalFormatting sqref="A3:A246">
    <cfRule type="containsText" dxfId="0" priority="1" operator="containsText" text="ID07352">
      <formula>NOT(ISERROR(SEARCH("ID07352",A3)))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Shreyas C N</cp:lastModifiedBy>
  <dcterms:created xsi:type="dcterms:W3CDTF">2023-11-14T11:24:33Z</dcterms:created>
  <dcterms:modified xsi:type="dcterms:W3CDTF">2026-09-22T16:33:20Z</dcterms:modified>
</cp:coreProperties>
</file>